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A5F4B3-7B75-40EE-B859-25B076A97EAF}" xr6:coauthVersionLast="47" xr6:coauthVersionMax="47" xr10:uidLastSave="{00000000-0000-0000-0000-000000000000}"/>
  <bookViews>
    <workbookView xWindow="-120" yWindow="-120" windowWidth="51840" windowHeight="20925" xr2:uid="{00000000-000D-0000-FFFF-FFFF00000000}"/>
  </bookViews>
  <sheets>
    <sheet name="Dashboard" sheetId="10" r:id="rId1"/>
    <sheet name="Продажи" sheetId="6" r:id="rId2"/>
    <sheet name="Аналитика" sheetId="8" r:id="rId3"/>
    <sheet name="Справочник" sheetId="5" r:id="rId4"/>
    <sheet name="P&amp;L Отчет" sheetId="9" r:id="rId5"/>
    <sheet name="Сводная по местам" sheetId="12" r:id="rId6"/>
  </sheets>
  <definedNames>
    <definedName name="_xlcn.WorksheetConnection_RZD_Wagon_Analysis.xlsxSales1" hidden="1">Sales[]</definedName>
    <definedName name="OLE_LINK1" localSheetId="4">'P&amp;L Отчет'!#REF!</definedName>
    <definedName name="База_цена" comment="Базовая цена без льгот">Продажи!$L$2</definedName>
    <definedName name="Срез_Станция_ДО">#N/A</definedName>
    <definedName name="Срез_Станция_ОТ">#N/A</definedName>
    <definedName name="Срез_Тип_пассажира">#N/A</definedName>
    <definedName name="Срез_Тип_полки">#N/A</definedName>
  </definedNames>
  <calcPr calcId="191029"/>
  <pivotCaches>
    <pivotCache cacheId="85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RZD_Wagon_Analysis.xlsx!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7" i="10" l="1" a="1"/>
  <c r="AX7" i="10" s="1"/>
  <c r="AX5" i="10" a="1"/>
  <c r="AX5" i="10" s="1"/>
  <c r="Q40" i="6"/>
  <c r="Q41" i="6"/>
  <c r="Q42" i="6"/>
  <c r="Q43" i="6"/>
  <c r="I2" i="6"/>
  <c r="I3" i="6"/>
  <c r="I4" i="6"/>
  <c r="I5" i="6"/>
  <c r="I6" i="6"/>
  <c r="I7" i="6"/>
  <c r="I8" i="6"/>
  <c r="I9" i="6"/>
  <c r="I10" i="6"/>
  <c r="I11" i="6"/>
  <c r="I12" i="6"/>
  <c r="I13" i="6"/>
  <c r="J13" i="6" s="1"/>
  <c r="I14" i="6"/>
  <c r="I15" i="6"/>
  <c r="I16" i="6"/>
  <c r="J16" i="6" s="1"/>
  <c r="I17" i="6"/>
  <c r="I18" i="6"/>
  <c r="I19" i="6"/>
  <c r="I20" i="6"/>
  <c r="I21" i="6"/>
  <c r="I22" i="6"/>
  <c r="I23" i="6"/>
  <c r="I24" i="6"/>
  <c r="J24" i="6" s="1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J44" i="6" s="1"/>
  <c r="I45" i="6"/>
  <c r="J45" i="6" s="1"/>
  <c r="I46" i="6"/>
  <c r="I47" i="6"/>
  <c r="I48" i="6"/>
  <c r="I49" i="6"/>
  <c r="I50" i="6"/>
  <c r="I51" i="6"/>
  <c r="I52" i="6"/>
  <c r="I53" i="6"/>
  <c r="I54" i="6"/>
  <c r="I55" i="6"/>
  <c r="I56" i="6"/>
  <c r="I57" i="6"/>
  <c r="O40" i="6"/>
  <c r="O41" i="6"/>
  <c r="O42" i="6"/>
  <c r="O43" i="6"/>
  <c r="H2" i="6"/>
  <c r="AG4" i="8"/>
  <c r="AG5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3" i="8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N40" i="6"/>
  <c r="N41" i="6"/>
  <c r="N42" i="6"/>
  <c r="N43" i="6"/>
  <c r="C14" i="9"/>
  <c r="C10" i="9"/>
  <c r="B58" i="6"/>
  <c r="Q26" i="8" s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E12" i="6"/>
  <c r="F12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E11" i="6"/>
  <c r="F2" i="6"/>
  <c r="F3" i="6"/>
  <c r="F4" i="6"/>
  <c r="F5" i="6"/>
  <c r="F6" i="6"/>
  <c r="F7" i="6"/>
  <c r="F8" i="6"/>
  <c r="F9" i="6"/>
  <c r="F10" i="6"/>
  <c r="F11" i="6"/>
  <c r="E2" i="6"/>
  <c r="E3" i="6"/>
  <c r="E4" i="6"/>
  <c r="E5" i="6"/>
  <c r="E6" i="6"/>
  <c r="E7" i="6"/>
  <c r="E8" i="6"/>
  <c r="E9" i="6"/>
  <c r="E10" i="6"/>
  <c r="E32" i="5"/>
  <c r="F32" i="5"/>
  <c r="C32" i="5"/>
  <c r="G3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K56" i="6" l="1"/>
  <c r="K44" i="6"/>
  <c r="L44" i="6" s="1"/>
  <c r="K36" i="6"/>
  <c r="K28" i="6"/>
  <c r="K4" i="6"/>
  <c r="K52" i="6"/>
  <c r="K40" i="6"/>
  <c r="K32" i="6"/>
  <c r="K20" i="6"/>
  <c r="K12" i="6"/>
  <c r="J36" i="6"/>
  <c r="K55" i="6"/>
  <c r="K51" i="6"/>
  <c r="K47" i="6"/>
  <c r="K43" i="6"/>
  <c r="K39" i="6"/>
  <c r="K35" i="6"/>
  <c r="K31" i="6"/>
  <c r="K27" i="6"/>
  <c r="K23" i="6"/>
  <c r="K19" i="6"/>
  <c r="K15" i="6"/>
  <c r="K11" i="6"/>
  <c r="K7" i="6"/>
  <c r="K3" i="6"/>
  <c r="K48" i="6"/>
  <c r="K24" i="6"/>
  <c r="L24" i="6" s="1"/>
  <c r="J56" i="6"/>
  <c r="K54" i="6"/>
  <c r="K50" i="6"/>
  <c r="K46" i="6"/>
  <c r="K42" i="6"/>
  <c r="K38" i="6"/>
  <c r="K34" i="6"/>
  <c r="K30" i="6"/>
  <c r="K26" i="6"/>
  <c r="K22" i="6"/>
  <c r="K18" i="6"/>
  <c r="K14" i="6"/>
  <c r="K10" i="6"/>
  <c r="K6" i="6"/>
  <c r="K2" i="6"/>
  <c r="K16" i="6"/>
  <c r="L16" i="6" s="1"/>
  <c r="K8" i="6"/>
  <c r="K57" i="6"/>
  <c r="K53" i="6"/>
  <c r="K49" i="6"/>
  <c r="K45" i="6"/>
  <c r="L45" i="6" s="1"/>
  <c r="K41" i="6"/>
  <c r="K37" i="6"/>
  <c r="K33" i="6"/>
  <c r="K29" i="6"/>
  <c r="K25" i="6"/>
  <c r="K21" i="6"/>
  <c r="K17" i="6"/>
  <c r="K13" i="6"/>
  <c r="L13" i="6" s="1"/>
  <c r="K9" i="6"/>
  <c r="K5" i="6"/>
  <c r="J12" i="6"/>
  <c r="J8" i="6"/>
  <c r="L8" i="6" s="1"/>
  <c r="J4" i="6"/>
  <c r="L4" i="6" s="1"/>
  <c r="J32" i="6"/>
  <c r="J52" i="6"/>
  <c r="J26" i="6"/>
  <c r="L26" i="6" s="1"/>
  <c r="J10" i="6"/>
  <c r="J42" i="6"/>
  <c r="J21" i="6"/>
  <c r="J53" i="6"/>
  <c r="J37" i="6"/>
  <c r="J5" i="6"/>
  <c r="L5" i="6" s="1"/>
  <c r="J48" i="6"/>
  <c r="J40" i="6"/>
  <c r="L40" i="6" s="1"/>
  <c r="J28" i="6"/>
  <c r="J20" i="6"/>
  <c r="J54" i="6"/>
  <c r="J46" i="6"/>
  <c r="J30" i="6"/>
  <c r="J22" i="6"/>
  <c r="J14" i="6"/>
  <c r="L14" i="6" s="1"/>
  <c r="J6" i="6"/>
  <c r="J51" i="6"/>
  <c r="L51" i="6" s="1"/>
  <c r="J43" i="6"/>
  <c r="J35" i="6"/>
  <c r="L35" i="6" s="1"/>
  <c r="J27" i="6"/>
  <c r="J19" i="6"/>
  <c r="L19" i="6" s="1"/>
  <c r="J11" i="6"/>
  <c r="J3" i="6"/>
  <c r="L3" i="6" s="1"/>
  <c r="J38" i="6"/>
  <c r="J50" i="6"/>
  <c r="J34" i="6"/>
  <c r="L34" i="6" s="1"/>
  <c r="J18" i="6"/>
  <c r="J55" i="6"/>
  <c r="L55" i="6" s="1"/>
  <c r="J47" i="6"/>
  <c r="J39" i="6"/>
  <c r="J31" i="6"/>
  <c r="J23" i="6"/>
  <c r="L23" i="6" s="1"/>
  <c r="J15" i="6"/>
  <c r="J7" i="6"/>
  <c r="J57" i="6"/>
  <c r="J49" i="6"/>
  <c r="J41" i="6"/>
  <c r="L41" i="6" s="1"/>
  <c r="J33" i="6"/>
  <c r="J29" i="6"/>
  <c r="J25" i="6"/>
  <c r="J17" i="6"/>
  <c r="J9" i="6"/>
  <c r="J2" i="6"/>
  <c r="H49" i="8"/>
  <c r="G55" i="8"/>
  <c r="T53" i="8"/>
  <c r="J56" i="8"/>
  <c r="Q40" i="8"/>
  <c r="Q52" i="8"/>
  <c r="K38" i="8"/>
  <c r="B56" i="8"/>
  <c r="AA47" i="8"/>
  <c r="Z56" i="8"/>
  <c r="W55" i="8"/>
  <c r="S54" i="8"/>
  <c r="N51" i="8"/>
  <c r="U45" i="8"/>
  <c r="Y35" i="8"/>
  <c r="AB54" i="8"/>
  <c r="R56" i="8"/>
  <c r="O55" i="8"/>
  <c r="H54" i="8"/>
  <c r="K50" i="8"/>
  <c r="O43" i="8"/>
  <c r="AA32" i="8"/>
  <c r="Y56" i="8"/>
  <c r="Q56" i="8"/>
  <c r="I56" i="8"/>
  <c r="AD55" i="8"/>
  <c r="V55" i="8"/>
  <c r="N55" i="8"/>
  <c r="F55" i="8"/>
  <c r="AA54" i="8"/>
  <c r="Q54" i="8"/>
  <c r="G54" i="8"/>
  <c r="L53" i="8"/>
  <c r="I52" i="8"/>
  <c r="F51" i="8"/>
  <c r="C50" i="8"/>
  <c r="AC48" i="8"/>
  <c r="K47" i="8"/>
  <c r="E45" i="8"/>
  <c r="AB42" i="8"/>
  <c r="AD39" i="8"/>
  <c r="X37" i="8"/>
  <c r="D35" i="8"/>
  <c r="M31" i="8"/>
  <c r="AD56" i="8"/>
  <c r="V56" i="8"/>
  <c r="N56" i="8"/>
  <c r="F56" i="8"/>
  <c r="AA55" i="8"/>
  <c r="S55" i="8"/>
  <c r="K55" i="8"/>
  <c r="C55" i="8"/>
  <c r="X54" i="8"/>
  <c r="M54" i="8"/>
  <c r="AC53" i="8"/>
  <c r="D53" i="8"/>
  <c r="AD51" i="8"/>
  <c r="AA50" i="8"/>
  <c r="X49" i="8"/>
  <c r="U48" i="8"/>
  <c r="X46" i="8"/>
  <c r="R44" i="8"/>
  <c r="L42" i="8"/>
  <c r="N39" i="8"/>
  <c r="H37" i="8"/>
  <c r="L34" i="8"/>
  <c r="G29" i="8"/>
  <c r="AC56" i="8"/>
  <c r="U56" i="8"/>
  <c r="M56" i="8"/>
  <c r="E56" i="8"/>
  <c r="Z55" i="8"/>
  <c r="R55" i="8"/>
  <c r="J55" i="8"/>
  <c r="B55" i="8"/>
  <c r="W54" i="8"/>
  <c r="L54" i="8"/>
  <c r="AB53" i="8"/>
  <c r="Y52" i="8"/>
  <c r="V51" i="8"/>
  <c r="S50" i="8"/>
  <c r="P49" i="8"/>
  <c r="M48" i="8"/>
  <c r="H46" i="8"/>
  <c r="B44" i="8"/>
  <c r="J41" i="8"/>
  <c r="AA38" i="8"/>
  <c r="R36" i="8"/>
  <c r="S33" i="8"/>
  <c r="C5" i="9"/>
  <c r="B7" i="8"/>
  <c r="G7" i="8"/>
  <c r="K7" i="8"/>
  <c r="O7" i="8"/>
  <c r="S7" i="8"/>
  <c r="W7" i="8"/>
  <c r="AA7" i="8"/>
  <c r="B8" i="8"/>
  <c r="F8" i="8"/>
  <c r="J8" i="8"/>
  <c r="N8" i="8"/>
  <c r="R8" i="8"/>
  <c r="V8" i="8"/>
  <c r="Z8" i="8"/>
  <c r="AD8" i="8"/>
  <c r="E9" i="8"/>
  <c r="I9" i="8"/>
  <c r="M9" i="8"/>
  <c r="Q9" i="8"/>
  <c r="U9" i="8"/>
  <c r="Y9" i="8"/>
  <c r="AC9" i="8"/>
  <c r="D10" i="8"/>
  <c r="H10" i="8"/>
  <c r="L10" i="8"/>
  <c r="P10" i="8"/>
  <c r="T10" i="8"/>
  <c r="X10" i="8"/>
  <c r="AB10" i="8"/>
  <c r="C11" i="8"/>
  <c r="G11" i="8"/>
  <c r="K11" i="8"/>
  <c r="O11" i="8"/>
  <c r="S11" i="8"/>
  <c r="W11" i="8"/>
  <c r="AA11" i="8"/>
  <c r="B12" i="8"/>
  <c r="F12" i="8"/>
  <c r="J12" i="8"/>
  <c r="N12" i="8"/>
  <c r="R12" i="8"/>
  <c r="V12" i="8"/>
  <c r="Z12" i="8"/>
  <c r="AD12" i="8"/>
  <c r="E13" i="8"/>
  <c r="I13" i="8"/>
  <c r="M13" i="8"/>
  <c r="Q13" i="8"/>
  <c r="U13" i="8"/>
  <c r="Y13" i="8"/>
  <c r="AC13" i="8"/>
  <c r="D14" i="8"/>
  <c r="H14" i="8"/>
  <c r="L14" i="8"/>
  <c r="P14" i="8"/>
  <c r="T14" i="8"/>
  <c r="X14" i="8"/>
  <c r="AB14" i="8"/>
  <c r="C15" i="8"/>
  <c r="G15" i="8"/>
  <c r="K15" i="8"/>
  <c r="O15" i="8"/>
  <c r="S15" i="8"/>
  <c r="W15" i="8"/>
  <c r="AA15" i="8"/>
  <c r="B16" i="8"/>
  <c r="F16" i="8"/>
  <c r="J16" i="8"/>
  <c r="N16" i="8"/>
  <c r="R16" i="8"/>
  <c r="V16" i="8"/>
  <c r="Z16" i="8"/>
  <c r="AD16" i="8"/>
  <c r="E17" i="8"/>
  <c r="I17" i="8"/>
  <c r="M17" i="8"/>
  <c r="Q17" i="8"/>
  <c r="U17" i="8"/>
  <c r="Y17" i="8"/>
  <c r="AC17" i="8"/>
  <c r="D18" i="8"/>
  <c r="H18" i="8"/>
  <c r="L18" i="8"/>
  <c r="P18" i="8"/>
  <c r="T18" i="8"/>
  <c r="D7" i="8"/>
  <c r="H7" i="8"/>
  <c r="L7" i="8"/>
  <c r="P7" i="8"/>
  <c r="T7" i="8"/>
  <c r="X7" i="8"/>
  <c r="AB7" i="8"/>
  <c r="C8" i="8"/>
  <c r="G8" i="8"/>
  <c r="K8" i="8"/>
  <c r="O8" i="8"/>
  <c r="S8" i="8"/>
  <c r="W8" i="8"/>
  <c r="AA8" i="8"/>
  <c r="B9" i="8"/>
  <c r="F9" i="8"/>
  <c r="J9" i="8"/>
  <c r="N9" i="8"/>
  <c r="R9" i="8"/>
  <c r="V9" i="8"/>
  <c r="Z9" i="8"/>
  <c r="AD9" i="8"/>
  <c r="E10" i="8"/>
  <c r="I10" i="8"/>
  <c r="M10" i="8"/>
  <c r="Q10" i="8"/>
  <c r="U10" i="8"/>
  <c r="Y10" i="8"/>
  <c r="AC10" i="8"/>
  <c r="D11" i="8"/>
  <c r="H11" i="8"/>
  <c r="L11" i="8"/>
  <c r="P11" i="8"/>
  <c r="T11" i="8"/>
  <c r="X11" i="8"/>
  <c r="AB11" i="8"/>
  <c r="C12" i="8"/>
  <c r="G12" i="8"/>
  <c r="K12" i="8"/>
  <c r="O12" i="8"/>
  <c r="S12" i="8"/>
  <c r="W12" i="8"/>
  <c r="AA12" i="8"/>
  <c r="B13" i="8"/>
  <c r="F13" i="8"/>
  <c r="J13" i="8"/>
  <c r="N13" i="8"/>
  <c r="R13" i="8"/>
  <c r="V13" i="8"/>
  <c r="Z13" i="8"/>
  <c r="AD13" i="8"/>
  <c r="E14" i="8"/>
  <c r="I14" i="8"/>
  <c r="M14" i="8"/>
  <c r="Q14" i="8"/>
  <c r="U14" i="8"/>
  <c r="Y14" i="8"/>
  <c r="AC14" i="8"/>
  <c r="D15" i="8"/>
  <c r="H15" i="8"/>
  <c r="L15" i="8"/>
  <c r="P15" i="8"/>
  <c r="T15" i="8"/>
  <c r="X15" i="8"/>
  <c r="AB15" i="8"/>
  <c r="C16" i="8"/>
  <c r="G16" i="8"/>
  <c r="K16" i="8"/>
  <c r="O16" i="8"/>
  <c r="S16" i="8"/>
  <c r="W16" i="8"/>
  <c r="AA16" i="8"/>
  <c r="B17" i="8"/>
  <c r="F17" i="8"/>
  <c r="J17" i="8"/>
  <c r="N17" i="8"/>
  <c r="R17" i="8"/>
  <c r="V17" i="8"/>
  <c r="Z17" i="8"/>
  <c r="AD17" i="8"/>
  <c r="E18" i="8"/>
  <c r="I18" i="8"/>
  <c r="E7" i="8"/>
  <c r="M7" i="8"/>
  <c r="U7" i="8"/>
  <c r="AC7" i="8"/>
  <c r="H8" i="8"/>
  <c r="P8" i="8"/>
  <c r="X8" i="8"/>
  <c r="C9" i="8"/>
  <c r="K9" i="8"/>
  <c r="S9" i="8"/>
  <c r="AA9" i="8"/>
  <c r="F10" i="8"/>
  <c r="N10" i="8"/>
  <c r="V10" i="8"/>
  <c r="AD10" i="8"/>
  <c r="I11" i="8"/>
  <c r="Q11" i="8"/>
  <c r="Y11" i="8"/>
  <c r="D12" i="8"/>
  <c r="L12" i="8"/>
  <c r="T12" i="8"/>
  <c r="AB12" i="8"/>
  <c r="G13" i="8"/>
  <c r="O13" i="8"/>
  <c r="W13" i="8"/>
  <c r="B14" i="8"/>
  <c r="J14" i="8"/>
  <c r="R14" i="8"/>
  <c r="Z14" i="8"/>
  <c r="E15" i="8"/>
  <c r="M15" i="8"/>
  <c r="U15" i="8"/>
  <c r="AC15" i="8"/>
  <c r="H16" i="8"/>
  <c r="P16" i="8"/>
  <c r="X16" i="8"/>
  <c r="C17" i="8"/>
  <c r="K17" i="8"/>
  <c r="S17" i="8"/>
  <c r="AA17" i="8"/>
  <c r="F18" i="8"/>
  <c r="M18" i="8"/>
  <c r="R18" i="8"/>
  <c r="W18" i="8"/>
  <c r="AA18" i="8"/>
  <c r="B19" i="8"/>
  <c r="F19" i="8"/>
  <c r="J19" i="8"/>
  <c r="N19" i="8"/>
  <c r="R19" i="8"/>
  <c r="V19" i="8"/>
  <c r="Z19" i="8"/>
  <c r="AD19" i="8"/>
  <c r="E21" i="8"/>
  <c r="I21" i="8"/>
  <c r="M21" i="8"/>
  <c r="Q21" i="8"/>
  <c r="U21" i="8"/>
  <c r="Y21" i="8"/>
  <c r="AC21" i="8"/>
  <c r="D22" i="8"/>
  <c r="H22" i="8"/>
  <c r="L22" i="8"/>
  <c r="P22" i="8"/>
  <c r="T22" i="8"/>
  <c r="X22" i="8"/>
  <c r="AB22" i="8"/>
  <c r="C23" i="8"/>
  <c r="G23" i="8"/>
  <c r="K23" i="8"/>
  <c r="O23" i="8"/>
  <c r="S23" i="8"/>
  <c r="W23" i="8"/>
  <c r="AA23" i="8"/>
  <c r="B24" i="8"/>
  <c r="F24" i="8"/>
  <c r="J24" i="8"/>
  <c r="N24" i="8"/>
  <c r="R24" i="8"/>
  <c r="V24" i="8"/>
  <c r="Z24" i="8"/>
  <c r="AD24" i="8"/>
  <c r="E25" i="8"/>
  <c r="I25" i="8"/>
  <c r="M25" i="8"/>
  <c r="Q25" i="8"/>
  <c r="U25" i="8"/>
  <c r="Y25" i="8"/>
  <c r="AC25" i="8"/>
  <c r="D26" i="8"/>
  <c r="H26" i="8"/>
  <c r="L26" i="8"/>
  <c r="P26" i="8"/>
  <c r="T26" i="8"/>
  <c r="X26" i="8"/>
  <c r="AB26" i="8"/>
  <c r="C27" i="8"/>
  <c r="G27" i="8"/>
  <c r="K27" i="8"/>
  <c r="O27" i="8"/>
  <c r="S27" i="8"/>
  <c r="W27" i="8"/>
  <c r="AA27" i="8"/>
  <c r="B28" i="8"/>
  <c r="F28" i="8"/>
  <c r="J28" i="8"/>
  <c r="F7" i="8"/>
  <c r="N7" i="8"/>
  <c r="V7" i="8"/>
  <c r="AD7" i="8"/>
  <c r="I8" i="8"/>
  <c r="Q8" i="8"/>
  <c r="Y8" i="8"/>
  <c r="D9" i="8"/>
  <c r="L9" i="8"/>
  <c r="T9" i="8"/>
  <c r="AB9" i="8"/>
  <c r="G10" i="8"/>
  <c r="O10" i="8"/>
  <c r="W10" i="8"/>
  <c r="B11" i="8"/>
  <c r="J11" i="8"/>
  <c r="R11" i="8"/>
  <c r="Z11" i="8"/>
  <c r="E12" i="8"/>
  <c r="M12" i="8"/>
  <c r="U12" i="8"/>
  <c r="AC12" i="8"/>
  <c r="H13" i="8"/>
  <c r="P13" i="8"/>
  <c r="X13" i="8"/>
  <c r="C14" i="8"/>
  <c r="K14" i="8"/>
  <c r="S14" i="8"/>
  <c r="AA14" i="8"/>
  <c r="F15" i="8"/>
  <c r="N15" i="8"/>
  <c r="V15" i="8"/>
  <c r="AD15" i="8"/>
  <c r="I16" i="8"/>
  <c r="Q16" i="8"/>
  <c r="Y16" i="8"/>
  <c r="D17" i="8"/>
  <c r="L17" i="8"/>
  <c r="T17" i="8"/>
  <c r="AB17" i="8"/>
  <c r="G18" i="8"/>
  <c r="N18" i="8"/>
  <c r="S18" i="8"/>
  <c r="X18" i="8"/>
  <c r="AB18" i="8"/>
  <c r="C19" i="8"/>
  <c r="G19" i="8"/>
  <c r="K19" i="8"/>
  <c r="O19" i="8"/>
  <c r="S19" i="8"/>
  <c r="W19" i="8"/>
  <c r="AA19" i="8"/>
  <c r="B21" i="8"/>
  <c r="F21" i="8"/>
  <c r="J21" i="8"/>
  <c r="N21" i="8"/>
  <c r="R21" i="8"/>
  <c r="V21" i="8"/>
  <c r="Z21" i="8"/>
  <c r="AD21" i="8"/>
  <c r="E22" i="8"/>
  <c r="I22" i="8"/>
  <c r="M22" i="8"/>
  <c r="Q22" i="8"/>
  <c r="U22" i="8"/>
  <c r="Y22" i="8"/>
  <c r="AC22" i="8"/>
  <c r="D23" i="8"/>
  <c r="H23" i="8"/>
  <c r="L23" i="8"/>
  <c r="P23" i="8"/>
  <c r="T23" i="8"/>
  <c r="X23" i="8"/>
  <c r="AB23" i="8"/>
  <c r="C24" i="8"/>
  <c r="G24" i="8"/>
  <c r="K24" i="8"/>
  <c r="O24" i="8"/>
  <c r="S24" i="8"/>
  <c r="W24" i="8"/>
  <c r="AA24" i="8"/>
  <c r="B25" i="8"/>
  <c r="F25" i="8"/>
  <c r="J25" i="8"/>
  <c r="N25" i="8"/>
  <c r="I7" i="8"/>
  <c r="Y7" i="8"/>
  <c r="L8" i="8"/>
  <c r="AB8" i="8"/>
  <c r="O9" i="8"/>
  <c r="B10" i="8"/>
  <c r="R10" i="8"/>
  <c r="E11" i="8"/>
  <c r="U11" i="8"/>
  <c r="H12" i="8"/>
  <c r="X12" i="8"/>
  <c r="K13" i="8"/>
  <c r="AA13" i="8"/>
  <c r="N14" i="8"/>
  <c r="AD14" i="8"/>
  <c r="Q15" i="8"/>
  <c r="D16" i="8"/>
  <c r="T16" i="8"/>
  <c r="G17" i="8"/>
  <c r="W17" i="8"/>
  <c r="J18" i="8"/>
  <c r="U18" i="8"/>
  <c r="AC18" i="8"/>
  <c r="H19" i="8"/>
  <c r="P19" i="8"/>
  <c r="X19" i="8"/>
  <c r="C21" i="8"/>
  <c r="K21" i="8"/>
  <c r="S21" i="8"/>
  <c r="AA21" i="8"/>
  <c r="F22" i="8"/>
  <c r="N22" i="8"/>
  <c r="V22" i="8"/>
  <c r="AD22" i="8"/>
  <c r="I23" i="8"/>
  <c r="Q23" i="8"/>
  <c r="Y23" i="8"/>
  <c r="D24" i="8"/>
  <c r="L24" i="8"/>
  <c r="T24" i="8"/>
  <c r="AB24" i="8"/>
  <c r="G25" i="8"/>
  <c r="O25" i="8"/>
  <c r="T25" i="8"/>
  <c r="Z25" i="8"/>
  <c r="B26" i="8"/>
  <c r="G26" i="8"/>
  <c r="M26" i="8"/>
  <c r="R26" i="8"/>
  <c r="W26" i="8"/>
  <c r="AC26" i="8"/>
  <c r="E27" i="8"/>
  <c r="J27" i="8"/>
  <c r="P27" i="8"/>
  <c r="U27" i="8"/>
  <c r="Z27" i="8"/>
  <c r="C28" i="8"/>
  <c r="H28" i="8"/>
  <c r="M28" i="8"/>
  <c r="Q28" i="8"/>
  <c r="U28" i="8"/>
  <c r="Y28" i="8"/>
  <c r="AC28" i="8"/>
  <c r="D29" i="8"/>
  <c r="H29" i="8"/>
  <c r="L29" i="8"/>
  <c r="P29" i="8"/>
  <c r="T29" i="8"/>
  <c r="X29" i="8"/>
  <c r="AB29" i="8"/>
  <c r="C30" i="8"/>
  <c r="G30" i="8"/>
  <c r="K30" i="8"/>
  <c r="O30" i="8"/>
  <c r="S30" i="8"/>
  <c r="W30" i="8"/>
  <c r="AA30" i="8"/>
  <c r="B31" i="8"/>
  <c r="F31" i="8"/>
  <c r="J31" i="8"/>
  <c r="N31" i="8"/>
  <c r="R31" i="8"/>
  <c r="V31" i="8"/>
  <c r="Z31" i="8"/>
  <c r="AD31" i="8"/>
  <c r="E32" i="8"/>
  <c r="I32" i="8"/>
  <c r="M32" i="8"/>
  <c r="Q32" i="8"/>
  <c r="U32" i="8"/>
  <c r="Y32" i="8"/>
  <c r="AC32" i="8"/>
  <c r="D33" i="8"/>
  <c r="H33" i="8"/>
  <c r="L33" i="8"/>
  <c r="P33" i="8"/>
  <c r="T33" i="8"/>
  <c r="X33" i="8"/>
  <c r="AB33" i="8"/>
  <c r="C34" i="8"/>
  <c r="G34" i="8"/>
  <c r="K34" i="8"/>
  <c r="O34" i="8"/>
  <c r="S34" i="8"/>
  <c r="W34" i="8"/>
  <c r="AA34" i="8"/>
  <c r="B35" i="8"/>
  <c r="F35" i="8"/>
  <c r="J35" i="8"/>
  <c r="N35" i="8"/>
  <c r="R35" i="8"/>
  <c r="V35" i="8"/>
  <c r="Z35" i="8"/>
  <c r="AD35" i="8"/>
  <c r="E36" i="8"/>
  <c r="I36" i="8"/>
  <c r="M36" i="8"/>
  <c r="Q36" i="8"/>
  <c r="U36" i="8"/>
  <c r="Y36" i="8"/>
  <c r="AC36" i="8"/>
  <c r="J7" i="8"/>
  <c r="Z7" i="8"/>
  <c r="M8" i="8"/>
  <c r="AC8" i="8"/>
  <c r="P9" i="8"/>
  <c r="C10" i="8"/>
  <c r="S10" i="8"/>
  <c r="F11" i="8"/>
  <c r="V11" i="8"/>
  <c r="I12" i="8"/>
  <c r="Y12" i="8"/>
  <c r="L13" i="8"/>
  <c r="AB13" i="8"/>
  <c r="O14" i="8"/>
  <c r="B15" i="8"/>
  <c r="R15" i="8"/>
  <c r="E16" i="8"/>
  <c r="U16" i="8"/>
  <c r="H17" i="8"/>
  <c r="X17" i="8"/>
  <c r="K18" i="8"/>
  <c r="V18" i="8"/>
  <c r="AD18" i="8"/>
  <c r="I19" i="8"/>
  <c r="Q19" i="8"/>
  <c r="Y19" i="8"/>
  <c r="D21" i="8"/>
  <c r="L21" i="8"/>
  <c r="T21" i="8"/>
  <c r="AB21" i="8"/>
  <c r="G22" i="8"/>
  <c r="O22" i="8"/>
  <c r="W22" i="8"/>
  <c r="B23" i="8"/>
  <c r="J23" i="8"/>
  <c r="R23" i="8"/>
  <c r="Z23" i="8"/>
  <c r="E24" i="8"/>
  <c r="M24" i="8"/>
  <c r="U24" i="8"/>
  <c r="AC24" i="8"/>
  <c r="H25" i="8"/>
  <c r="P25" i="8"/>
  <c r="V25" i="8"/>
  <c r="AA25" i="8"/>
  <c r="C26" i="8"/>
  <c r="I26" i="8"/>
  <c r="N26" i="8"/>
  <c r="S26" i="8"/>
  <c r="Y26" i="8"/>
  <c r="AD26" i="8"/>
  <c r="F27" i="8"/>
  <c r="L27" i="8"/>
  <c r="Q27" i="8"/>
  <c r="V27" i="8"/>
  <c r="AB27" i="8"/>
  <c r="D28" i="8"/>
  <c r="I28" i="8"/>
  <c r="N28" i="8"/>
  <c r="R28" i="8"/>
  <c r="V28" i="8"/>
  <c r="Z28" i="8"/>
  <c r="AD28" i="8"/>
  <c r="E29" i="8"/>
  <c r="I29" i="8"/>
  <c r="M29" i="8"/>
  <c r="Q29" i="8"/>
  <c r="U29" i="8"/>
  <c r="Y29" i="8"/>
  <c r="AC29" i="8"/>
  <c r="D30" i="8"/>
  <c r="H30" i="8"/>
  <c r="L30" i="8"/>
  <c r="P30" i="8"/>
  <c r="T30" i="8"/>
  <c r="X30" i="8"/>
  <c r="AB30" i="8"/>
  <c r="C31" i="8"/>
  <c r="G31" i="8"/>
  <c r="K31" i="8"/>
  <c r="O31" i="8"/>
  <c r="S31" i="8"/>
  <c r="W31" i="8"/>
  <c r="AA31" i="8"/>
  <c r="B32" i="8"/>
  <c r="F32" i="8"/>
  <c r="J32" i="8"/>
  <c r="N32" i="8"/>
  <c r="R32" i="8"/>
  <c r="V32" i="8"/>
  <c r="Z32" i="8"/>
  <c r="Q7" i="8"/>
  <c r="D8" i="8"/>
  <c r="T8" i="8"/>
  <c r="G9" i="8"/>
  <c r="W9" i="8"/>
  <c r="J10" i="8"/>
  <c r="Z10" i="8"/>
  <c r="M11" i="8"/>
  <c r="AC11" i="8"/>
  <c r="P12" i="8"/>
  <c r="C13" i="8"/>
  <c r="S13" i="8"/>
  <c r="F14" i="8"/>
  <c r="V14" i="8"/>
  <c r="I15" i="8"/>
  <c r="Y15" i="8"/>
  <c r="L16" i="8"/>
  <c r="AB16" i="8"/>
  <c r="O17" i="8"/>
  <c r="B18" i="8"/>
  <c r="O18" i="8"/>
  <c r="Y18" i="8"/>
  <c r="D19" i="8"/>
  <c r="L19" i="8"/>
  <c r="T19" i="8"/>
  <c r="AB19" i="8"/>
  <c r="G21" i="8"/>
  <c r="O21" i="8"/>
  <c r="W21" i="8"/>
  <c r="B22" i="8"/>
  <c r="J22" i="8"/>
  <c r="R22" i="8"/>
  <c r="Z22" i="8"/>
  <c r="E23" i="8"/>
  <c r="M23" i="8"/>
  <c r="U23" i="8"/>
  <c r="AC23" i="8"/>
  <c r="H24" i="8"/>
  <c r="P24" i="8"/>
  <c r="X24" i="8"/>
  <c r="C25" i="8"/>
  <c r="K25" i="8"/>
  <c r="R25" i="8"/>
  <c r="W25" i="8"/>
  <c r="AB25" i="8"/>
  <c r="E26" i="8"/>
  <c r="J26" i="8"/>
  <c r="O26" i="8"/>
  <c r="U26" i="8"/>
  <c r="Z26" i="8"/>
  <c r="B27" i="8"/>
  <c r="H27" i="8"/>
  <c r="M27" i="8"/>
  <c r="R27" i="8"/>
  <c r="X27" i="8"/>
  <c r="AC27" i="8"/>
  <c r="E28" i="8"/>
  <c r="K28" i="8"/>
  <c r="O28" i="8"/>
  <c r="S28" i="8"/>
  <c r="W28" i="8"/>
  <c r="AA28" i="8"/>
  <c r="B29" i="8"/>
  <c r="F29" i="8"/>
  <c r="J29" i="8"/>
  <c r="N29" i="8"/>
  <c r="R29" i="8"/>
  <c r="V29" i="8"/>
  <c r="Z29" i="8"/>
  <c r="AD29" i="8"/>
  <c r="E30" i="8"/>
  <c r="I30" i="8"/>
  <c r="M30" i="8"/>
  <c r="Q30" i="8"/>
  <c r="U30" i="8"/>
  <c r="Y30" i="8"/>
  <c r="AC30" i="8"/>
  <c r="D31" i="8"/>
  <c r="H31" i="8"/>
  <c r="L31" i="8"/>
  <c r="P31" i="8"/>
  <c r="T31" i="8"/>
  <c r="X31" i="8"/>
  <c r="AB31" i="8"/>
  <c r="C32" i="8"/>
  <c r="R7" i="8"/>
  <c r="X9" i="8"/>
  <c r="AD11" i="8"/>
  <c r="G14" i="8"/>
  <c r="M16" i="8"/>
  <c r="Q18" i="8"/>
  <c r="U19" i="8"/>
  <c r="X21" i="8"/>
  <c r="AA22" i="8"/>
  <c r="AD23" i="8"/>
  <c r="D25" i="8"/>
  <c r="AD25" i="8"/>
  <c r="V26" i="8"/>
  <c r="N27" i="8"/>
  <c r="G28" i="8"/>
  <c r="X28" i="8"/>
  <c r="K29" i="8"/>
  <c r="AA29" i="8"/>
  <c r="N30" i="8"/>
  <c r="AD30" i="8"/>
  <c r="Q31" i="8"/>
  <c r="D32" i="8"/>
  <c r="L32" i="8"/>
  <c r="T32" i="8"/>
  <c r="AB32" i="8"/>
  <c r="E33" i="8"/>
  <c r="J33" i="8"/>
  <c r="O33" i="8"/>
  <c r="U33" i="8"/>
  <c r="Z33" i="8"/>
  <c r="B34" i="8"/>
  <c r="H34" i="8"/>
  <c r="M34" i="8"/>
  <c r="R34" i="8"/>
  <c r="X34" i="8"/>
  <c r="AC34" i="8"/>
  <c r="E35" i="8"/>
  <c r="K35" i="8"/>
  <c r="P35" i="8"/>
  <c r="U35" i="8"/>
  <c r="AA35" i="8"/>
  <c r="C36" i="8"/>
  <c r="H36" i="8"/>
  <c r="N36" i="8"/>
  <c r="S36" i="8"/>
  <c r="X36" i="8"/>
  <c r="AD36" i="8"/>
  <c r="E37" i="8"/>
  <c r="I37" i="8"/>
  <c r="M37" i="8"/>
  <c r="Q37" i="8"/>
  <c r="U37" i="8"/>
  <c r="Y37" i="8"/>
  <c r="AC37" i="8"/>
  <c r="D38" i="8"/>
  <c r="H38" i="8"/>
  <c r="L38" i="8"/>
  <c r="P38" i="8"/>
  <c r="T38" i="8"/>
  <c r="X38" i="8"/>
  <c r="AB38" i="8"/>
  <c r="C39" i="8"/>
  <c r="G39" i="8"/>
  <c r="K39" i="8"/>
  <c r="O39" i="8"/>
  <c r="S39" i="8"/>
  <c r="W39" i="8"/>
  <c r="AA39" i="8"/>
  <c r="B40" i="8"/>
  <c r="F40" i="8"/>
  <c r="J40" i="8"/>
  <c r="N40" i="8"/>
  <c r="R40" i="8"/>
  <c r="V40" i="8"/>
  <c r="Z40" i="8"/>
  <c r="AD40" i="8"/>
  <c r="N41" i="8"/>
  <c r="AD41" i="8"/>
  <c r="E42" i="8"/>
  <c r="I42" i="8"/>
  <c r="M42" i="8"/>
  <c r="Q42" i="8"/>
  <c r="U42" i="8"/>
  <c r="Y42" i="8"/>
  <c r="AC42" i="8"/>
  <c r="D43" i="8"/>
  <c r="H43" i="8"/>
  <c r="L43" i="8"/>
  <c r="P43" i="8"/>
  <c r="T43" i="8"/>
  <c r="X43" i="8"/>
  <c r="AB43" i="8"/>
  <c r="C44" i="8"/>
  <c r="G44" i="8"/>
  <c r="K44" i="8"/>
  <c r="O44" i="8"/>
  <c r="S44" i="8"/>
  <c r="W44" i="8"/>
  <c r="AA44" i="8"/>
  <c r="B45" i="8"/>
  <c r="F45" i="8"/>
  <c r="J45" i="8"/>
  <c r="N45" i="8"/>
  <c r="R45" i="8"/>
  <c r="V45" i="8"/>
  <c r="Z45" i="8"/>
  <c r="AD45" i="8"/>
  <c r="E46" i="8"/>
  <c r="I46" i="8"/>
  <c r="M46" i="8"/>
  <c r="Q46" i="8"/>
  <c r="U46" i="8"/>
  <c r="Y46" i="8"/>
  <c r="AC46" i="8"/>
  <c r="D47" i="8"/>
  <c r="H47" i="8"/>
  <c r="L47" i="8"/>
  <c r="P47" i="8"/>
  <c r="T47" i="8"/>
  <c r="X47" i="8"/>
  <c r="AB47" i="8"/>
  <c r="C48" i="8"/>
  <c r="G48" i="8"/>
  <c r="K48" i="8"/>
  <c r="O48" i="8"/>
  <c r="S48" i="8"/>
  <c r="W48" i="8"/>
  <c r="AA48" i="8"/>
  <c r="B49" i="8"/>
  <c r="F49" i="8"/>
  <c r="J49" i="8"/>
  <c r="N49" i="8"/>
  <c r="R49" i="8"/>
  <c r="V49" i="8"/>
  <c r="Z49" i="8"/>
  <c r="AD49" i="8"/>
  <c r="E50" i="8"/>
  <c r="I50" i="8"/>
  <c r="M50" i="8"/>
  <c r="Q50" i="8"/>
  <c r="U50" i="8"/>
  <c r="Y50" i="8"/>
  <c r="AC50" i="8"/>
  <c r="D51" i="8"/>
  <c r="H51" i="8"/>
  <c r="L51" i="8"/>
  <c r="P51" i="8"/>
  <c r="T51" i="8"/>
  <c r="X51" i="8"/>
  <c r="AB51" i="8"/>
  <c r="C52" i="8"/>
  <c r="G52" i="8"/>
  <c r="K52" i="8"/>
  <c r="O52" i="8"/>
  <c r="S52" i="8"/>
  <c r="W52" i="8"/>
  <c r="AA52" i="8"/>
  <c r="B53" i="8"/>
  <c r="F53" i="8"/>
  <c r="J53" i="8"/>
  <c r="N53" i="8"/>
  <c r="R53" i="8"/>
  <c r="V53" i="8"/>
  <c r="Z53" i="8"/>
  <c r="AD53" i="8"/>
  <c r="E54" i="8"/>
  <c r="E8" i="8"/>
  <c r="K10" i="8"/>
  <c r="Q12" i="8"/>
  <c r="W14" i="8"/>
  <c r="AC16" i="8"/>
  <c r="Z18" i="8"/>
  <c r="AC19" i="8"/>
  <c r="C22" i="8"/>
  <c r="F23" i="8"/>
  <c r="I24" i="8"/>
  <c r="L25" i="8"/>
  <c r="F26" i="8"/>
  <c r="AA26" i="8"/>
  <c r="T27" i="8"/>
  <c r="L28" i="8"/>
  <c r="AB28" i="8"/>
  <c r="O29" i="8"/>
  <c r="B30" i="8"/>
  <c r="R30" i="8"/>
  <c r="E31" i="8"/>
  <c r="U31" i="8"/>
  <c r="G32" i="8"/>
  <c r="O32" i="8"/>
  <c r="W32" i="8"/>
  <c r="AD32" i="8"/>
  <c r="F33" i="8"/>
  <c r="K33" i="8"/>
  <c r="Q33" i="8"/>
  <c r="V33" i="8"/>
  <c r="AA33" i="8"/>
  <c r="D34" i="8"/>
  <c r="I34" i="8"/>
  <c r="N34" i="8"/>
  <c r="T34" i="8"/>
  <c r="Y34" i="8"/>
  <c r="AD34" i="8"/>
  <c r="G35" i="8"/>
  <c r="L35" i="8"/>
  <c r="Q35" i="8"/>
  <c r="W35" i="8"/>
  <c r="AB35" i="8"/>
  <c r="D36" i="8"/>
  <c r="J36" i="8"/>
  <c r="O36" i="8"/>
  <c r="T36" i="8"/>
  <c r="Z36" i="8"/>
  <c r="B37" i="8"/>
  <c r="F37" i="8"/>
  <c r="J37" i="8"/>
  <c r="N37" i="8"/>
  <c r="R37" i="8"/>
  <c r="V37" i="8"/>
  <c r="Z37" i="8"/>
  <c r="AD37" i="8"/>
  <c r="E38" i="8"/>
  <c r="I38" i="8"/>
  <c r="M38" i="8"/>
  <c r="Q38" i="8"/>
  <c r="U38" i="8"/>
  <c r="Y38" i="8"/>
  <c r="AC38" i="8"/>
  <c r="D39" i="8"/>
  <c r="H39" i="8"/>
  <c r="L39" i="8"/>
  <c r="P39" i="8"/>
  <c r="T39" i="8"/>
  <c r="X39" i="8"/>
  <c r="AB39" i="8"/>
  <c r="C40" i="8"/>
  <c r="G40" i="8"/>
  <c r="K40" i="8"/>
  <c r="O40" i="8"/>
  <c r="S40" i="8"/>
  <c r="W40" i="8"/>
  <c r="AA40" i="8"/>
  <c r="B41" i="8"/>
  <c r="R41" i="8"/>
  <c r="B42" i="8"/>
  <c r="F42" i="8"/>
  <c r="J42" i="8"/>
  <c r="N42" i="8"/>
  <c r="R42" i="8"/>
  <c r="V42" i="8"/>
  <c r="Z42" i="8"/>
  <c r="AD42" i="8"/>
  <c r="E43" i="8"/>
  <c r="I43" i="8"/>
  <c r="M43" i="8"/>
  <c r="Q43" i="8"/>
  <c r="U43" i="8"/>
  <c r="Y43" i="8"/>
  <c r="AC43" i="8"/>
  <c r="D44" i="8"/>
  <c r="H44" i="8"/>
  <c r="L44" i="8"/>
  <c r="P44" i="8"/>
  <c r="T44" i="8"/>
  <c r="X44" i="8"/>
  <c r="AB44" i="8"/>
  <c r="C45" i="8"/>
  <c r="G45" i="8"/>
  <c r="K45" i="8"/>
  <c r="O45" i="8"/>
  <c r="S45" i="8"/>
  <c r="W45" i="8"/>
  <c r="AA45" i="8"/>
  <c r="B46" i="8"/>
  <c r="F46" i="8"/>
  <c r="J46" i="8"/>
  <c r="N46" i="8"/>
  <c r="R46" i="8"/>
  <c r="V46" i="8"/>
  <c r="Z46" i="8"/>
  <c r="AD46" i="8"/>
  <c r="E47" i="8"/>
  <c r="I47" i="8"/>
  <c r="M47" i="8"/>
  <c r="Q47" i="8"/>
  <c r="U47" i="8"/>
  <c r="Y47" i="8"/>
  <c r="AC47" i="8"/>
  <c r="D48" i="8"/>
  <c r="H48" i="8"/>
  <c r="L48" i="8"/>
  <c r="P48" i="8"/>
  <c r="T48" i="8"/>
  <c r="X48" i="8"/>
  <c r="AB48" i="8"/>
  <c r="C49" i="8"/>
  <c r="G49" i="8"/>
  <c r="K49" i="8"/>
  <c r="O49" i="8"/>
  <c r="S49" i="8"/>
  <c r="W49" i="8"/>
  <c r="AA49" i="8"/>
  <c r="B50" i="8"/>
  <c r="F50" i="8"/>
  <c r="J50" i="8"/>
  <c r="N50" i="8"/>
  <c r="R50" i="8"/>
  <c r="V50" i="8"/>
  <c r="Z50" i="8"/>
  <c r="AD50" i="8"/>
  <c r="E51" i="8"/>
  <c r="I51" i="8"/>
  <c r="M51" i="8"/>
  <c r="Q51" i="8"/>
  <c r="U51" i="8"/>
  <c r="Y51" i="8"/>
  <c r="AC51" i="8"/>
  <c r="D52" i="8"/>
  <c r="H52" i="8"/>
  <c r="L52" i="8"/>
  <c r="P52" i="8"/>
  <c r="T52" i="8"/>
  <c r="X52" i="8"/>
  <c r="AB52" i="8"/>
  <c r="C53" i="8"/>
  <c r="G53" i="8"/>
  <c r="K53" i="8"/>
  <c r="O53" i="8"/>
  <c r="S53" i="8"/>
  <c r="W53" i="8"/>
  <c r="AA53" i="8"/>
  <c r="B54" i="8"/>
  <c r="F54" i="8"/>
  <c r="J54" i="8"/>
  <c r="N54" i="8"/>
  <c r="R54" i="8"/>
  <c r="V54" i="8"/>
  <c r="U8" i="8"/>
  <c r="AA10" i="8"/>
  <c r="D13" i="8"/>
  <c r="J15" i="8"/>
  <c r="P17" i="8"/>
  <c r="E19" i="8"/>
  <c r="H21" i="8"/>
  <c r="K22" i="8"/>
  <c r="N23" i="8"/>
  <c r="Q24" i="8"/>
  <c r="S25" i="8"/>
  <c r="K26" i="8"/>
  <c r="D27" i="8"/>
  <c r="Y27" i="8"/>
  <c r="P28" i="8"/>
  <c r="C29" i="8"/>
  <c r="S29" i="8"/>
  <c r="F30" i="8"/>
  <c r="V30" i="8"/>
  <c r="I31" i="8"/>
  <c r="Y31" i="8"/>
  <c r="H32" i="8"/>
  <c r="P32" i="8"/>
  <c r="X32" i="8"/>
  <c r="B33" i="8"/>
  <c r="G33" i="8"/>
  <c r="M33" i="8"/>
  <c r="R33" i="8"/>
  <c r="W33" i="8"/>
  <c r="AC33" i="8"/>
  <c r="E34" i="8"/>
  <c r="J34" i="8"/>
  <c r="P34" i="8"/>
  <c r="U34" i="8"/>
  <c r="Z34" i="8"/>
  <c r="C35" i="8"/>
  <c r="H35" i="8"/>
  <c r="M35" i="8"/>
  <c r="S35" i="8"/>
  <c r="X35" i="8"/>
  <c r="AC35" i="8"/>
  <c r="F36" i="8"/>
  <c r="K36" i="8"/>
  <c r="P36" i="8"/>
  <c r="V36" i="8"/>
  <c r="AA36" i="8"/>
  <c r="C37" i="8"/>
  <c r="G37" i="8"/>
  <c r="K37" i="8"/>
  <c r="O37" i="8"/>
  <c r="S37" i="8"/>
  <c r="W37" i="8"/>
  <c r="AA37" i="8"/>
  <c r="B38" i="8"/>
  <c r="F38" i="8"/>
  <c r="J38" i="8"/>
  <c r="N38" i="8"/>
  <c r="R38" i="8"/>
  <c r="V38" i="8"/>
  <c r="Z38" i="8"/>
  <c r="AD38" i="8"/>
  <c r="E39" i="8"/>
  <c r="I39" i="8"/>
  <c r="M39" i="8"/>
  <c r="Q39" i="8"/>
  <c r="U39" i="8"/>
  <c r="Y39" i="8"/>
  <c r="AC39" i="8"/>
  <c r="D40" i="8"/>
  <c r="H40" i="8"/>
  <c r="L40" i="8"/>
  <c r="P40" i="8"/>
  <c r="T40" i="8"/>
  <c r="X40" i="8"/>
  <c r="AB40" i="8"/>
  <c r="F41" i="8"/>
  <c r="V41" i="8"/>
  <c r="C42" i="8"/>
  <c r="G42" i="8"/>
  <c r="K42" i="8"/>
  <c r="O42" i="8"/>
  <c r="S42" i="8"/>
  <c r="W42" i="8"/>
  <c r="AA42" i="8"/>
  <c r="B43" i="8"/>
  <c r="F43" i="8"/>
  <c r="J43" i="8"/>
  <c r="N43" i="8"/>
  <c r="R43" i="8"/>
  <c r="V43" i="8"/>
  <c r="Z43" i="8"/>
  <c r="AD43" i="8"/>
  <c r="E44" i="8"/>
  <c r="I44" i="8"/>
  <c r="M44" i="8"/>
  <c r="Q44" i="8"/>
  <c r="U44" i="8"/>
  <c r="Y44" i="8"/>
  <c r="AC44" i="8"/>
  <c r="D45" i="8"/>
  <c r="H45" i="8"/>
  <c r="L45" i="8"/>
  <c r="P45" i="8"/>
  <c r="T45" i="8"/>
  <c r="X45" i="8"/>
  <c r="AB45" i="8"/>
  <c r="C46" i="8"/>
  <c r="G46" i="8"/>
  <c r="K46" i="8"/>
  <c r="O46" i="8"/>
  <c r="S46" i="8"/>
  <c r="W46" i="8"/>
  <c r="AA46" i="8"/>
  <c r="B47" i="8"/>
  <c r="F47" i="8"/>
  <c r="J47" i="8"/>
  <c r="N47" i="8"/>
  <c r="R47" i="8"/>
  <c r="V47" i="8"/>
  <c r="Z47" i="8"/>
  <c r="AD47" i="8"/>
  <c r="E48" i="8"/>
  <c r="I48" i="8"/>
  <c r="AB56" i="8"/>
  <c r="X56" i="8"/>
  <c r="T56" i="8"/>
  <c r="P56" i="8"/>
  <c r="L56" i="8"/>
  <c r="H56" i="8"/>
  <c r="D56" i="8"/>
  <c r="AC55" i="8"/>
  <c r="Y55" i="8"/>
  <c r="U55" i="8"/>
  <c r="Q55" i="8"/>
  <c r="M55" i="8"/>
  <c r="I55" i="8"/>
  <c r="E55" i="8"/>
  <c r="AD54" i="8"/>
  <c r="Z54" i="8"/>
  <c r="U54" i="8"/>
  <c r="P54" i="8"/>
  <c r="K54" i="8"/>
  <c r="D54" i="8"/>
  <c r="Y53" i="8"/>
  <c r="Q53" i="8"/>
  <c r="I53" i="8"/>
  <c r="AD52" i="8"/>
  <c r="V52" i="8"/>
  <c r="N52" i="8"/>
  <c r="F52" i="8"/>
  <c r="AA51" i="8"/>
  <c r="S51" i="8"/>
  <c r="K51" i="8"/>
  <c r="C51" i="8"/>
  <c r="X50" i="8"/>
  <c r="P50" i="8"/>
  <c r="H50" i="8"/>
  <c r="AC49" i="8"/>
  <c r="U49" i="8"/>
  <c r="M49" i="8"/>
  <c r="E49" i="8"/>
  <c r="Z48" i="8"/>
  <c r="R48" i="8"/>
  <c r="J48" i="8"/>
  <c r="W47" i="8"/>
  <c r="G47" i="8"/>
  <c r="T46" i="8"/>
  <c r="D46" i="8"/>
  <c r="Q45" i="8"/>
  <c r="AD44" i="8"/>
  <c r="N44" i="8"/>
  <c r="AA43" i="8"/>
  <c r="K43" i="8"/>
  <c r="X42" i="8"/>
  <c r="H42" i="8"/>
  <c r="AC40" i="8"/>
  <c r="M40" i="8"/>
  <c r="Z39" i="8"/>
  <c r="J39" i="8"/>
  <c r="W38" i="8"/>
  <c r="G38" i="8"/>
  <c r="T37" i="8"/>
  <c r="D37" i="8"/>
  <c r="L36" i="8"/>
  <c r="T35" i="8"/>
  <c r="AB34" i="8"/>
  <c r="F34" i="8"/>
  <c r="N33" i="8"/>
  <c r="S32" i="8"/>
  <c r="Z30" i="8"/>
  <c r="T28" i="8"/>
  <c r="X25" i="8"/>
  <c r="P21" i="8"/>
  <c r="T13" i="8"/>
  <c r="S22" i="8"/>
  <c r="Z15" i="8"/>
  <c r="AA56" i="8"/>
  <c r="W56" i="8"/>
  <c r="S56" i="8"/>
  <c r="O56" i="8"/>
  <c r="K56" i="8"/>
  <c r="G56" i="8"/>
  <c r="C56" i="8"/>
  <c r="AB55" i="8"/>
  <c r="X55" i="8"/>
  <c r="T55" i="8"/>
  <c r="P55" i="8"/>
  <c r="L55" i="8"/>
  <c r="H55" i="8"/>
  <c r="D55" i="8"/>
  <c r="AC54" i="8"/>
  <c r="Y54" i="8"/>
  <c r="T54" i="8"/>
  <c r="O54" i="8"/>
  <c r="I54" i="8"/>
  <c r="C54" i="8"/>
  <c r="X53" i="8"/>
  <c r="P53" i="8"/>
  <c r="H53" i="8"/>
  <c r="AC52" i="8"/>
  <c r="U52" i="8"/>
  <c r="M52" i="8"/>
  <c r="E52" i="8"/>
  <c r="Z51" i="8"/>
  <c r="R51" i="8"/>
  <c r="J51" i="8"/>
  <c r="B51" i="8"/>
  <c r="W50" i="8"/>
  <c r="O50" i="8"/>
  <c r="G50" i="8"/>
  <c r="AB49" i="8"/>
  <c r="T49" i="8"/>
  <c r="L49" i="8"/>
  <c r="D49" i="8"/>
  <c r="Y48" i="8"/>
  <c r="Q48" i="8"/>
  <c r="F48" i="8"/>
  <c r="S47" i="8"/>
  <c r="C47" i="8"/>
  <c r="P46" i="8"/>
  <c r="AC45" i="8"/>
  <c r="M45" i="8"/>
  <c r="Z44" i="8"/>
  <c r="J44" i="8"/>
  <c r="W43" i="8"/>
  <c r="G43" i="8"/>
  <c r="T42" i="8"/>
  <c r="D42" i="8"/>
  <c r="Y40" i="8"/>
  <c r="I40" i="8"/>
  <c r="V39" i="8"/>
  <c r="F39" i="8"/>
  <c r="S38" i="8"/>
  <c r="C38" i="8"/>
  <c r="P37" i="8"/>
  <c r="AB36" i="8"/>
  <c r="G36" i="8"/>
  <c r="O35" i="8"/>
  <c r="V34" i="8"/>
  <c r="AD33" i="8"/>
  <c r="I33" i="8"/>
  <c r="K32" i="8"/>
  <c r="J30" i="8"/>
  <c r="AD27" i="8"/>
  <c r="Y24" i="8"/>
  <c r="M19" i="8"/>
  <c r="N11" i="8"/>
  <c r="U53" i="8"/>
  <c r="M53" i="8"/>
  <c r="E53" i="8"/>
  <c r="Z52" i="8"/>
  <c r="R52" i="8"/>
  <c r="J52" i="8"/>
  <c r="B52" i="8"/>
  <c r="W51" i="8"/>
  <c r="O51" i="8"/>
  <c r="G51" i="8"/>
  <c r="AB50" i="8"/>
  <c r="T50" i="8"/>
  <c r="L50" i="8"/>
  <c r="D50" i="8"/>
  <c r="Y49" i="8"/>
  <c r="Q49" i="8"/>
  <c r="I49" i="8"/>
  <c r="AD48" i="8"/>
  <c r="V48" i="8"/>
  <c r="N48" i="8"/>
  <c r="B48" i="8"/>
  <c r="O47" i="8"/>
  <c r="AB46" i="8"/>
  <c r="L46" i="8"/>
  <c r="Y45" i="8"/>
  <c r="I45" i="8"/>
  <c r="V44" i="8"/>
  <c r="F44" i="8"/>
  <c r="S43" i="8"/>
  <c r="C43" i="8"/>
  <c r="P42" i="8"/>
  <c r="Z41" i="8"/>
  <c r="U40" i="8"/>
  <c r="E40" i="8"/>
  <c r="R39" i="8"/>
  <c r="B39" i="8"/>
  <c r="O38" i="8"/>
  <c r="AB37" i="8"/>
  <c r="L37" i="8"/>
  <c r="W36" i="8"/>
  <c r="B36" i="8"/>
  <c r="I35" i="8"/>
  <c r="Q34" i="8"/>
  <c r="Y33" i="8"/>
  <c r="C33" i="8"/>
  <c r="AC31" i="8"/>
  <c r="W29" i="8"/>
  <c r="I27" i="8"/>
  <c r="V23" i="8"/>
  <c r="C18" i="8"/>
  <c r="H9" i="8"/>
  <c r="C20" i="8"/>
  <c r="C7" i="8"/>
  <c r="C11" i="9"/>
  <c r="C41" i="8"/>
  <c r="AC41" i="8"/>
  <c r="Y41" i="8"/>
  <c r="U41" i="8"/>
  <c r="Q41" i="8"/>
  <c r="M41" i="8"/>
  <c r="I41" i="8"/>
  <c r="E41" i="8"/>
  <c r="AB41" i="8"/>
  <c r="X41" i="8"/>
  <c r="T41" i="8"/>
  <c r="P41" i="8"/>
  <c r="L41" i="8"/>
  <c r="H41" i="8"/>
  <c r="D41" i="8"/>
  <c r="AA41" i="8"/>
  <c r="W41" i="8"/>
  <c r="S41" i="8"/>
  <c r="O41" i="8"/>
  <c r="K41" i="8"/>
  <c r="G41" i="8"/>
  <c r="C12" i="9"/>
  <c r="E6" i="8"/>
  <c r="C3" i="8"/>
  <c r="AB3" i="8"/>
  <c r="C4" i="8"/>
  <c r="B5" i="8"/>
  <c r="T3" i="8"/>
  <c r="AA3" i="8"/>
  <c r="S3" i="8"/>
  <c r="AD3" i="8"/>
  <c r="Z3" i="8"/>
  <c r="V3" i="8"/>
  <c r="R3" i="8"/>
  <c r="N3" i="8"/>
  <c r="J3" i="8"/>
  <c r="F3" i="8"/>
  <c r="AD20" i="8"/>
  <c r="Z20" i="8"/>
  <c r="V20" i="8"/>
  <c r="R20" i="8"/>
  <c r="N20" i="8"/>
  <c r="J20" i="8"/>
  <c r="F20" i="8"/>
  <c r="B20" i="8"/>
  <c r="AB6" i="8"/>
  <c r="X6" i="8"/>
  <c r="T6" i="8"/>
  <c r="P6" i="8"/>
  <c r="L6" i="8"/>
  <c r="H6" i="8"/>
  <c r="D6" i="8"/>
  <c r="AC5" i="8"/>
  <c r="Y5" i="8"/>
  <c r="U5" i="8"/>
  <c r="Q5" i="8"/>
  <c r="M5" i="8"/>
  <c r="I5" i="8"/>
  <c r="E5" i="8"/>
  <c r="AD4" i="8"/>
  <c r="Z4" i="8"/>
  <c r="V4" i="8"/>
  <c r="R4" i="8"/>
  <c r="N4" i="8"/>
  <c r="J4" i="8"/>
  <c r="F4" i="8"/>
  <c r="B4" i="8"/>
  <c r="AC3" i="8"/>
  <c r="Y3" i="8"/>
  <c r="U3" i="8"/>
  <c r="Q3" i="8"/>
  <c r="M3" i="8"/>
  <c r="I3" i="8"/>
  <c r="E3" i="8"/>
  <c r="AC20" i="8"/>
  <c r="Y20" i="8"/>
  <c r="U20" i="8"/>
  <c r="Q20" i="8"/>
  <c r="M20" i="8"/>
  <c r="I20" i="8"/>
  <c r="E20" i="8"/>
  <c r="AA6" i="8"/>
  <c r="W6" i="8"/>
  <c r="S6" i="8"/>
  <c r="O6" i="8"/>
  <c r="K6" i="8"/>
  <c r="G6" i="8"/>
  <c r="C6" i="8"/>
  <c r="AB5" i="8"/>
  <c r="X5" i="8"/>
  <c r="T5" i="8"/>
  <c r="P5" i="8"/>
  <c r="L5" i="8"/>
  <c r="H5" i="8"/>
  <c r="D5" i="8"/>
  <c r="AC4" i="8"/>
  <c r="Y4" i="8"/>
  <c r="U4" i="8"/>
  <c r="Q4" i="8"/>
  <c r="M4" i="8"/>
  <c r="I4" i="8"/>
  <c r="E4" i="8"/>
  <c r="X3" i="8"/>
  <c r="P3" i="8"/>
  <c r="L3" i="8"/>
  <c r="H3" i="8"/>
  <c r="D3" i="8"/>
  <c r="AB20" i="8"/>
  <c r="X20" i="8"/>
  <c r="T20" i="8"/>
  <c r="P20" i="8"/>
  <c r="L20" i="8"/>
  <c r="H20" i="8"/>
  <c r="D20" i="8"/>
  <c r="AD6" i="8"/>
  <c r="Z6" i="8"/>
  <c r="V6" i="8"/>
  <c r="R6" i="8"/>
  <c r="N6" i="8"/>
  <c r="J6" i="8"/>
  <c r="F6" i="8"/>
  <c r="B6" i="8"/>
  <c r="AA5" i="8"/>
  <c r="W5" i="8"/>
  <c r="S5" i="8"/>
  <c r="O5" i="8"/>
  <c r="K5" i="8"/>
  <c r="G5" i="8"/>
  <c r="C5" i="8"/>
  <c r="AB4" i="8"/>
  <c r="X4" i="8"/>
  <c r="T4" i="8"/>
  <c r="P4" i="8"/>
  <c r="L4" i="8"/>
  <c r="H4" i="8"/>
  <c r="D4" i="8"/>
  <c r="B3" i="8"/>
  <c r="W3" i="8"/>
  <c r="O3" i="8"/>
  <c r="K3" i="8"/>
  <c r="G3" i="8"/>
  <c r="AA20" i="8"/>
  <c r="W20" i="8"/>
  <c r="S20" i="8"/>
  <c r="O20" i="8"/>
  <c r="K20" i="8"/>
  <c r="G20" i="8"/>
  <c r="AC6" i="8"/>
  <c r="Y6" i="8"/>
  <c r="U6" i="8"/>
  <c r="Q6" i="8"/>
  <c r="M6" i="8"/>
  <c r="I6" i="8"/>
  <c r="AD5" i="8"/>
  <c r="Z5" i="8"/>
  <c r="V5" i="8"/>
  <c r="R5" i="8"/>
  <c r="N5" i="8"/>
  <c r="J5" i="8"/>
  <c r="F5" i="8"/>
  <c r="AA4" i="8"/>
  <c r="W4" i="8"/>
  <c r="S4" i="8"/>
  <c r="O4" i="8"/>
  <c r="K4" i="8"/>
  <c r="G4" i="8"/>
  <c r="D32" i="5"/>
  <c r="C13" i="9" s="1"/>
  <c r="L56" i="6" l="1"/>
  <c r="L53" i="6"/>
  <c r="L2" i="6"/>
  <c r="L31" i="6"/>
  <c r="L18" i="6"/>
  <c r="L48" i="6"/>
  <c r="L21" i="6"/>
  <c r="L52" i="6"/>
  <c r="L12" i="6"/>
  <c r="L15" i="6"/>
  <c r="L47" i="6"/>
  <c r="L50" i="6"/>
  <c r="L37" i="6"/>
  <c r="AF36" i="8"/>
  <c r="AF48" i="8"/>
  <c r="AF30" i="8"/>
  <c r="AF4" i="8"/>
  <c r="AH4" i="8" s="1"/>
  <c r="AF5" i="8"/>
  <c r="AH5" i="8" s="1"/>
  <c r="AF6" i="8"/>
  <c r="AH6" i="8" s="1"/>
  <c r="AF39" i="8"/>
  <c r="AF51" i="8"/>
  <c r="AF54" i="8"/>
  <c r="AF34" i="8"/>
  <c r="AF18" i="8"/>
  <c r="AF15" i="8"/>
  <c r="AH15" i="8" s="1"/>
  <c r="AF21" i="8"/>
  <c r="AF24" i="8"/>
  <c r="AF17" i="8"/>
  <c r="AF16" i="8"/>
  <c r="AF56" i="8"/>
  <c r="AF42" i="8"/>
  <c r="AF25" i="8"/>
  <c r="AF28" i="8"/>
  <c r="AF44" i="8"/>
  <c r="AF3" i="8"/>
  <c r="AF20" i="8"/>
  <c r="AH20" i="8" s="1"/>
  <c r="AF52" i="8"/>
  <c r="AF47" i="8"/>
  <c r="AF38" i="8"/>
  <c r="AF50" i="8"/>
  <c r="AF41" i="8"/>
  <c r="AH41" i="8" s="1"/>
  <c r="AF53" i="8"/>
  <c r="AF29" i="8"/>
  <c r="AF27" i="8"/>
  <c r="AF23" i="8"/>
  <c r="AF35" i="8"/>
  <c r="AF19" i="8"/>
  <c r="AF14" i="8"/>
  <c r="AH14" i="8" s="1"/>
  <c r="AF13" i="8"/>
  <c r="AH13" i="8" s="1"/>
  <c r="AF12" i="8"/>
  <c r="AH12" i="8" s="1"/>
  <c r="AF7" i="8"/>
  <c r="AH7" i="8" s="1"/>
  <c r="AF55" i="8"/>
  <c r="AF45" i="8"/>
  <c r="AF43" i="8"/>
  <c r="AF33" i="8"/>
  <c r="AF46" i="8"/>
  <c r="AF37" i="8"/>
  <c r="AF49" i="8"/>
  <c r="AF40" i="8"/>
  <c r="AF22" i="8"/>
  <c r="AF32" i="8"/>
  <c r="AF31" i="8"/>
  <c r="AF26" i="8"/>
  <c r="AF10" i="8"/>
  <c r="AH10" i="8" s="1"/>
  <c r="AF11" i="8"/>
  <c r="AH11" i="8" s="1"/>
  <c r="AF9" i="8"/>
  <c r="AH9" i="8" s="1"/>
  <c r="AF8" i="8"/>
  <c r="AH8" i="8" s="1"/>
  <c r="L36" i="6"/>
  <c r="L33" i="6"/>
  <c r="L11" i="6"/>
  <c r="L43" i="6"/>
  <c r="L32" i="6"/>
  <c r="L17" i="6"/>
  <c r="L30" i="6"/>
  <c r="L28" i="6"/>
  <c r="L49" i="6"/>
  <c r="L27" i="6"/>
  <c r="L46" i="6"/>
  <c r="L7" i="6"/>
  <c r="L39" i="6"/>
  <c r="L29" i="6"/>
  <c r="L20" i="6"/>
  <c r="L42" i="6"/>
  <c r="L10" i="6"/>
  <c r="L9" i="6"/>
  <c r="L25" i="6"/>
  <c r="L57" i="6"/>
  <c r="L6" i="6"/>
  <c r="L22" i="6"/>
  <c r="L38" i="6"/>
  <c r="L54" i="6"/>
  <c r="AE39" i="8"/>
  <c r="AE34" i="8"/>
  <c r="AE21" i="8"/>
  <c r="AE24" i="8"/>
  <c r="AE17" i="8"/>
  <c r="AE16" i="8"/>
  <c r="AE56" i="8"/>
  <c r="AE51" i="8"/>
  <c r="AE54" i="8"/>
  <c r="AE18" i="8"/>
  <c r="AE15" i="8"/>
  <c r="AE3" i="8"/>
  <c r="AE20" i="8"/>
  <c r="AE52" i="8"/>
  <c r="AE47" i="8"/>
  <c r="AE38" i="8"/>
  <c r="AE50" i="8"/>
  <c r="AE41" i="8"/>
  <c r="AE53" i="8"/>
  <c r="AE29" i="8"/>
  <c r="AE27" i="8"/>
  <c r="AE23" i="8"/>
  <c r="AE35" i="8"/>
  <c r="AE19" i="8"/>
  <c r="AE14" i="8"/>
  <c r="AE13" i="8"/>
  <c r="AE12" i="8"/>
  <c r="AE7" i="8"/>
  <c r="AE55" i="8"/>
  <c r="AE6" i="8"/>
  <c r="AE43" i="8"/>
  <c r="AE33" i="8"/>
  <c r="AE46" i="8"/>
  <c r="AE37" i="8"/>
  <c r="AE49" i="8"/>
  <c r="AE40" i="8"/>
  <c r="AE22" i="8"/>
  <c r="AE32" i="8"/>
  <c r="AE31" i="8"/>
  <c r="AE26" i="8"/>
  <c r="AE10" i="8"/>
  <c r="AE11" i="8"/>
  <c r="AE9" i="8"/>
  <c r="AE8" i="8"/>
  <c r="AE4" i="8"/>
  <c r="AE5" i="8"/>
  <c r="AE36" i="8"/>
  <c r="AE48" i="8"/>
  <c r="AE42" i="8"/>
  <c r="AE30" i="8"/>
  <c r="AE45" i="8"/>
  <c r="AE25" i="8"/>
  <c r="AE28" i="8"/>
  <c r="AE44" i="8"/>
  <c r="H57" i="8"/>
  <c r="S57" i="8"/>
  <c r="U57" i="8"/>
  <c r="G57" i="8"/>
  <c r="B57" i="8"/>
  <c r="L57" i="8"/>
  <c r="I57" i="8"/>
  <c r="Y57" i="8"/>
  <c r="F57" i="8"/>
  <c r="V57" i="8"/>
  <c r="AA57" i="8"/>
  <c r="AB57" i="8"/>
  <c r="W57" i="8"/>
  <c r="E57" i="8"/>
  <c r="K57" i="8"/>
  <c r="P57" i="8"/>
  <c r="M57" i="8"/>
  <c r="AC57" i="8"/>
  <c r="J57" i="8"/>
  <c r="Z57" i="8"/>
  <c r="T57" i="8"/>
  <c r="C57" i="8"/>
  <c r="R57" i="8"/>
  <c r="O57" i="8"/>
  <c r="D57" i="8"/>
  <c r="X57" i="8"/>
  <c r="Q57" i="8"/>
  <c r="N57" i="8"/>
  <c r="AD57" i="8"/>
  <c r="C23" i="9"/>
  <c r="AL7" i="10" s="1"/>
  <c r="C15" i="9"/>
  <c r="D6" i="10" s="1"/>
  <c r="AH27" i="8" l="1"/>
  <c r="AH16" i="8"/>
  <c r="AH30" i="8"/>
  <c r="AH17" i="8"/>
  <c r="AH3" i="8"/>
  <c r="AH31" i="8"/>
  <c r="AH46" i="8"/>
  <c r="AH39" i="8"/>
  <c r="L58" i="6"/>
  <c r="C20" i="9" s="1"/>
  <c r="AH47" i="8"/>
  <c r="AH56" i="8"/>
  <c r="AH22" i="8"/>
  <c r="AH35" i="8"/>
  <c r="AH54" i="8"/>
  <c r="AH42" i="8"/>
  <c r="AH52" i="8"/>
  <c r="AH43" i="8"/>
  <c r="AH23" i="8"/>
  <c r="AH50" i="8"/>
  <c r="AH44" i="8"/>
  <c r="AH26" i="8"/>
  <c r="AH25" i="8"/>
  <c r="AH24" i="8"/>
  <c r="AH29" i="8"/>
  <c r="AH33" i="8"/>
  <c r="AH21" i="8"/>
  <c r="AH32" i="8"/>
  <c r="AH34" i="8"/>
  <c r="AH40" i="8"/>
  <c r="AH19" i="8"/>
  <c r="AH51" i="8"/>
  <c r="AH48" i="8"/>
  <c r="AH49" i="8"/>
  <c r="AH37" i="8"/>
  <c r="AH28" i="8"/>
  <c r="AH38" i="8"/>
  <c r="AH36" i="8"/>
  <c r="AH55" i="8"/>
  <c r="AH45" i="8"/>
  <c r="AH53" i="8"/>
  <c r="AH18" i="8"/>
  <c r="P2" i="6" a="1"/>
  <c r="AG1" i="8" a="1"/>
  <c r="AG1" i="8" s="1"/>
  <c r="O39" i="6" l="1"/>
  <c r="Q39" i="6"/>
  <c r="N39" i="6"/>
  <c r="C4" i="9"/>
  <c r="C24" i="9" s="1"/>
  <c r="Q3" i="6"/>
  <c r="Q7" i="6"/>
  <c r="Q11" i="6"/>
  <c r="Q15" i="6"/>
  <c r="Q19" i="6"/>
  <c r="Q23" i="6"/>
  <c r="Q27" i="6"/>
  <c r="Q31" i="6"/>
  <c r="Q35" i="6"/>
  <c r="Q10" i="6"/>
  <c r="Q18" i="6"/>
  <c r="Q22" i="6"/>
  <c r="Q30" i="6"/>
  <c r="Q4" i="6"/>
  <c r="Q8" i="6"/>
  <c r="Q12" i="6"/>
  <c r="Q16" i="6"/>
  <c r="Q20" i="6"/>
  <c r="Q24" i="6"/>
  <c r="Q28" i="6"/>
  <c r="Q32" i="6"/>
  <c r="Q36" i="6"/>
  <c r="Q6" i="6"/>
  <c r="Q14" i="6"/>
  <c r="Q26" i="6"/>
  <c r="Q34" i="6"/>
  <c r="Q38" i="6"/>
  <c r="Q5" i="6"/>
  <c r="Q9" i="6"/>
  <c r="Q13" i="6"/>
  <c r="Q17" i="6"/>
  <c r="Q21" i="6"/>
  <c r="Q25" i="6"/>
  <c r="Q29" i="6"/>
  <c r="Q33" i="6"/>
  <c r="Q37" i="6"/>
  <c r="P2" i="6"/>
  <c r="Q2" i="6" s="1"/>
  <c r="O3" i="6"/>
  <c r="O7" i="6"/>
  <c r="O11" i="6"/>
  <c r="O15" i="6"/>
  <c r="O19" i="6"/>
  <c r="O23" i="6"/>
  <c r="O27" i="6"/>
  <c r="O31" i="6"/>
  <c r="O35" i="6"/>
  <c r="O14" i="6"/>
  <c r="O4" i="6"/>
  <c r="O8" i="6"/>
  <c r="O12" i="6"/>
  <c r="O16" i="6"/>
  <c r="O20" i="6"/>
  <c r="O24" i="6"/>
  <c r="O28" i="6"/>
  <c r="O32" i="6"/>
  <c r="O36" i="6"/>
  <c r="O10" i="6"/>
  <c r="O22" i="6"/>
  <c r="O26" i="6"/>
  <c r="O34" i="6"/>
  <c r="O5" i="6"/>
  <c r="O9" i="6"/>
  <c r="O13" i="6"/>
  <c r="O17" i="6"/>
  <c r="O21" i="6"/>
  <c r="O25" i="6"/>
  <c r="O29" i="6"/>
  <c r="O33" i="6"/>
  <c r="O37" i="6"/>
  <c r="O6" i="6"/>
  <c r="O18" i="6"/>
  <c r="O30" i="6"/>
  <c r="O38" i="6"/>
  <c r="C6" i="9" l="1"/>
  <c r="D5" i="10" s="1"/>
  <c r="O2" i="6"/>
  <c r="C21" i="9" l="1"/>
  <c r="C19" i="9"/>
  <c r="C22" i="9" s="1"/>
  <c r="AL6" i="10" s="1"/>
  <c r="N2" i="6"/>
  <c r="N3" i="6"/>
  <c r="N7" i="6"/>
  <c r="N11" i="6"/>
  <c r="N15" i="6"/>
  <c r="N19" i="6"/>
  <c r="N23" i="6"/>
  <c r="N27" i="6"/>
  <c r="N31" i="6"/>
  <c r="N35" i="6"/>
  <c r="N14" i="6"/>
  <c r="N34" i="6"/>
  <c r="N4" i="6"/>
  <c r="N8" i="6"/>
  <c r="N12" i="6"/>
  <c r="N16" i="6"/>
  <c r="N20" i="6"/>
  <c r="N24" i="6"/>
  <c r="N28" i="6"/>
  <c r="N32" i="6"/>
  <c r="N36" i="6"/>
  <c r="N10" i="6"/>
  <c r="N18" i="6"/>
  <c r="N26" i="6"/>
  <c r="N5" i="6"/>
  <c r="N9" i="6"/>
  <c r="N13" i="6"/>
  <c r="N17" i="6"/>
  <c r="N21" i="6"/>
  <c r="N25" i="6"/>
  <c r="N29" i="6"/>
  <c r="N33" i="6"/>
  <c r="N37" i="6"/>
  <c r="N6" i="6"/>
  <c r="N22" i="6"/>
  <c r="N30" i="6"/>
  <c r="N38" i="6"/>
  <c r="D7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Роман</author>
  </authors>
  <commentList>
    <comment ref="Q5" authorId="0" shapeId="0" xr:uid="{DD6181DA-D389-44AB-82A7-3F0E1AE9D1B2}">
      <text>
        <r>
          <rPr>
            <b/>
            <sz val="9"/>
            <color indexed="81"/>
            <rFont val="Tahoma"/>
            <family val="2"/>
            <charset val="204"/>
          </rPr>
          <t>Роман:</t>
        </r>
        <r>
          <rPr>
            <sz val="9"/>
            <color indexed="81"/>
            <rFont val="Tahoma"/>
            <family val="2"/>
            <charset val="204"/>
          </rPr>
          <t xml:space="preserve">
Условная прибыль с каждого пассажира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B2390-0193-4ADD-B4F1-5AE9190115E4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36999C-99CC-45BB-A1F0-615D67F5700A}" name="WorksheetConnection_RZD_Wagon_Analysis.xlsx!Sales" type="102" refreshedVersion="7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RZD_Wagon_Analysis.xlsxSal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<sst xmlns="http://schemas.openxmlformats.org/spreadsheetml/2006/main" count="337" uniqueCount="146">
  <si>
    <t>Россошь</t>
  </si>
  <si>
    <t>Миллерово</t>
  </si>
  <si>
    <t>Каменская</t>
  </si>
  <si>
    <t>Зверево</t>
  </si>
  <si>
    <t>Шахтная</t>
  </si>
  <si>
    <t>Новочеркасск</t>
  </si>
  <si>
    <t>Место</t>
  </si>
  <si>
    <t>Итог</t>
  </si>
  <si>
    <t>Затраты</t>
  </si>
  <si>
    <t>Рентабельность</t>
  </si>
  <si>
    <t>Чистая прибыль</t>
  </si>
  <si>
    <t>Полный</t>
  </si>
  <si>
    <t>Описание</t>
  </si>
  <si>
    <t>Примечание</t>
  </si>
  <si>
    <t>Станция (остановка)</t>
  </si>
  <si>
    <t>Расстояние от Мск (км)</t>
  </si>
  <si>
    <t>Сбор: Вода (₽)</t>
  </si>
  <si>
    <t>Сбор: Септик (₽)</t>
  </si>
  <si>
    <t>Москва (Казанский)</t>
  </si>
  <si>
    <t>Старт</t>
  </si>
  <si>
    <t>Рязань 2</t>
  </si>
  <si>
    <t>Ряжск 1</t>
  </si>
  <si>
    <t>Мичуринск-Вор.</t>
  </si>
  <si>
    <t>Заправка водой</t>
  </si>
  <si>
    <t>Грязи-Воронежские</t>
  </si>
  <si>
    <t>Воронеж 1</t>
  </si>
  <si>
    <t>Тех. обслуживание</t>
  </si>
  <si>
    <t>Лиски</t>
  </si>
  <si>
    <t>Пухово</t>
  </si>
  <si>
    <t>Евдаково</t>
  </si>
  <si>
    <t>Сагуны</t>
  </si>
  <si>
    <t>Подгорное</t>
  </si>
  <si>
    <t>Райновская</t>
  </si>
  <si>
    <t>Кантемировка</t>
  </si>
  <si>
    <t>Чертково</t>
  </si>
  <si>
    <t>Тарасовка</t>
  </si>
  <si>
    <t>Глубокая</t>
  </si>
  <si>
    <t>Откачка баков</t>
  </si>
  <si>
    <t>Лихая</t>
  </si>
  <si>
    <t>Замчалово</t>
  </si>
  <si>
    <t>Сулин</t>
  </si>
  <si>
    <t>Каменоломни</t>
  </si>
  <si>
    <t>Персиановка</t>
  </si>
  <si>
    <t>Хотунок</t>
  </si>
  <si>
    <t>Александровка</t>
  </si>
  <si>
    <t>Ростов-Главный</t>
  </si>
  <si>
    <t>Финиш</t>
  </si>
  <si>
    <t>Длина перегона  (км)</t>
  </si>
  <si>
    <t>ID билета</t>
  </si>
  <si>
    <t>Станция ОТ</t>
  </si>
  <si>
    <t>Станция ДО</t>
  </si>
  <si>
    <t>Индекс ОТ</t>
  </si>
  <si>
    <t>Индекс ДО</t>
  </si>
  <si>
    <t>Цена, ₽</t>
  </si>
  <si>
    <t>ID</t>
  </si>
  <si>
    <t xml:space="preserve">ТО вагона: </t>
  </si>
  <si>
    <t xml:space="preserve">Амортизация: </t>
  </si>
  <si>
    <t>Комплект белья (расход на 1 билет).:</t>
  </si>
  <si>
    <t xml:space="preserve">ФОТ (2 проводника, за рейс): </t>
  </si>
  <si>
    <t xml:space="preserve">Энергия (тяга)(за 1 км пути вагона.): </t>
  </si>
  <si>
    <t>Статья затрат</t>
  </si>
  <si>
    <t>Стоимость</t>
  </si>
  <si>
    <t>1. Доходы (Revenue)</t>
  </si>
  <si>
    <t>Статья</t>
  </si>
  <si>
    <t>Выручка от билетов</t>
  </si>
  <si>
    <t>Продажа чая/сувениров</t>
  </si>
  <si>
    <t>ИТОГО ДОХОД</t>
  </si>
  <si>
    <t>2. Расходы (Expenses)</t>
  </si>
  <si>
    <t>ФОТ (2 проводника)</t>
  </si>
  <si>
    <t>Стирка белья</t>
  </si>
  <si>
    <t>Станционные сборы</t>
  </si>
  <si>
    <t>Энергия / Тяга</t>
  </si>
  <si>
    <t>ТО и Амортизация</t>
  </si>
  <si>
    <t>ИТОГО РАСХОД</t>
  </si>
  <si>
    <t>Сумма всех проданных билетов</t>
  </si>
  <si>
    <t>Условно 150₽ прибыли с каждого пассажира</t>
  </si>
  <si>
    <t>Фикс за рейс (2 проводника)</t>
  </si>
  <si>
    <t>Стирка комплекта на каждого севшего</t>
  </si>
  <si>
    <t>Из твоей первой таблицы</t>
  </si>
  <si>
    <t>Расход на движение вагона (15₽ за 1 км)</t>
  </si>
  <si>
    <t>Износ вагона за рейс</t>
  </si>
  <si>
    <t>Себестоимость рейса</t>
  </si>
  <si>
    <t>3. Главные показатели (KPI)</t>
  </si>
  <si>
    <t>Базовая ставка:</t>
  </si>
  <si>
    <t>Стоимость км:</t>
  </si>
  <si>
    <t>Сервисный сбор:</t>
  </si>
  <si>
    <t>ИТОГО ДОХОД - ИТОГО РАСХОД.</t>
  </si>
  <si>
    <t>Выручка общая / Количество билетов.</t>
  </si>
  <si>
    <t>Брутто выручка</t>
  </si>
  <si>
    <t>На сколько процентов в среднем был заполнен вагон за весь путь</t>
  </si>
  <si>
    <t>Наименование</t>
  </si>
  <si>
    <t>Цена</t>
  </si>
  <si>
    <t>Вагонный буфет проводника</t>
  </si>
  <si>
    <t>Сумма, руб</t>
  </si>
  <si>
    <t>Метрики</t>
  </si>
  <si>
    <t>Показатели</t>
  </si>
  <si>
    <t xml:space="preserve">Точка безубыточности (чел): </t>
  </si>
  <si>
    <t>Сколько билетов нужно продать, чтобы выйти в 0.</t>
  </si>
  <si>
    <t>Выручка</t>
  </si>
  <si>
    <t xml:space="preserve"> Выручка / Общий пробег.</t>
  </si>
  <si>
    <t>Чистая прибыль / ИТОГО ДОХОД) * 100%. (Хороший показатель для вагона — 15–25%).</t>
  </si>
  <si>
    <t xml:space="preserve">Чистая прибыль: </t>
  </si>
  <si>
    <t>Средний чек:</t>
  </si>
  <si>
    <t>Доход на 1 км:</t>
  </si>
  <si>
    <t>Рентабельность:</t>
  </si>
  <si>
    <t>Коэффициент загрузки (Load Factor):</t>
  </si>
  <si>
    <t>Тип пассажира</t>
  </si>
  <si>
    <t>Пенсионеры / Инвалиды:</t>
  </si>
  <si>
    <t xml:space="preserve">Дети (до 10 лет): </t>
  </si>
  <si>
    <t>Скидка 65% от тарифа.</t>
  </si>
  <si>
    <t xml:space="preserve"> Бесплатно (без занятия места), но в системе они отражаются с ценой 0.</t>
  </si>
  <si>
    <t>Младенцы (до 5 лет):</t>
  </si>
  <si>
    <t xml:space="preserve">Школьники/Студенты: </t>
  </si>
  <si>
    <t>Скидка 50% (обычно действует в учебный период, с сентября по май).</t>
  </si>
  <si>
    <t>Идут по спецтарифам или талонам соцстрахования.</t>
  </si>
  <si>
    <t>Базовая цена</t>
  </si>
  <si>
    <t>Станция отправления</t>
  </si>
  <si>
    <t>Станция прибытия</t>
  </si>
  <si>
    <t>Статус места</t>
  </si>
  <si>
    <t>№ места</t>
  </si>
  <si>
    <t>Наименование станций</t>
  </si>
  <si>
    <t>Свободны места</t>
  </si>
  <si>
    <t>№ зоны</t>
  </si>
  <si>
    <t>Загрузка (Load Factor)</t>
  </si>
  <si>
    <t>Тип полки</t>
  </si>
  <si>
    <t>Скидка 20%</t>
  </si>
  <si>
    <t>Скидка 15%</t>
  </si>
  <si>
    <t>Коэф-нт цены</t>
  </si>
  <si>
    <t>Нижнее место</t>
  </si>
  <si>
    <t>Верхнее место</t>
  </si>
  <si>
    <t>Нижнее боковое место</t>
  </si>
  <si>
    <t>Верхнее боковое место</t>
  </si>
  <si>
    <t>Базовая цена, руб</t>
  </si>
  <si>
    <t>ID купе</t>
  </si>
  <si>
    <t>№ купе</t>
  </si>
  <si>
    <t>Выбор станции маршрута</t>
  </si>
  <si>
    <t>Скидка 10%</t>
  </si>
  <si>
    <t>Сумма скидки льготникам, руб</t>
  </si>
  <si>
    <t>Сумма скидки тип-места, руб2</t>
  </si>
  <si>
    <t>Наличие полного купе</t>
  </si>
  <si>
    <t>Названия строк</t>
  </si>
  <si>
    <t>(пусто)</t>
  </si>
  <si>
    <t>Общий итог</t>
  </si>
  <si>
    <t>Названия столбцов</t>
  </si>
  <si>
    <t>Число элементов в столбце Цена, ₽</t>
  </si>
  <si>
    <r>
      <rPr>
        <b/>
        <sz val="24"/>
        <color rgb="FFC00000"/>
        <rFont val="Roboto"/>
        <charset val="204"/>
      </rPr>
      <t>«Аналитическая модель рейса: Москва — Ростов-на-Дону»</t>
    </r>
    <r>
      <rPr>
        <sz val="24"/>
        <color rgb="FFC00000"/>
        <rFont val="Roboto"/>
        <charset val="204"/>
      </rPr>
      <t>.</t>
    </r>
    <r>
      <rPr>
        <b/>
        <sz val="24"/>
        <color rgb="FFC00000"/>
        <rFont val="Roboto"/>
        <charset val="204"/>
      </rPr>
      <t xml:space="preserve"> </t>
    </r>
    <r>
      <rPr>
        <b/>
        <sz val="12"/>
        <color rgb="FFC00000"/>
        <rFont val="Roboto"/>
        <charset val="204"/>
      </rPr>
      <t xml:space="preserve">  </t>
    </r>
    <r>
      <rPr>
        <b/>
        <i/>
        <sz val="12"/>
        <color rgb="FFC00000"/>
        <rFont val="Roboto"/>
        <charset val="204"/>
      </rPr>
      <t>(на примере расчёта одного плацкартного вагона)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</si>
</sst>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₽&quot;;[Red]\-#,##0\ &quot;₽&quot;"/>
    <numFmt numFmtId="164" formatCode="#,##0.00\ &quot;₽&quot;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0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20"/>
      <color rgb="FFC00000"/>
      <name val="Roboto"/>
      <charset val="204"/>
    </font>
    <font>
      <sz val="20"/>
      <color rgb="FFC00000"/>
      <name val="Roboto"/>
      <charset val="204"/>
    </font>
    <font>
      <b/>
      <sz val="12"/>
      <color rgb="FFC00000"/>
      <name val="Roboto"/>
      <charset val="204"/>
    </font>
    <font>
      <b/>
      <i/>
      <sz val="12"/>
      <color rgb="FFC00000"/>
      <name val="Roboto"/>
      <charset val="204"/>
    </font>
    <font>
      <sz val="11"/>
      <color theme="1"/>
      <name val="Roboto"/>
      <charset val="204"/>
    </font>
    <font>
      <sz val="14"/>
      <color theme="1"/>
      <name val="Times New Roman"/>
      <family val="1"/>
      <charset val="204"/>
    </font>
    <font>
      <b/>
      <sz val="10"/>
      <color theme="1"/>
      <name val="Roboto"/>
      <charset val="204"/>
    </font>
    <font>
      <sz val="10"/>
      <color theme="1"/>
      <name val="Roboto"/>
      <charset val="204"/>
    </font>
    <font>
      <b/>
      <sz val="10"/>
      <color theme="0"/>
      <name val="Roboto"/>
      <charset val="204"/>
    </font>
    <font>
      <b/>
      <sz val="10"/>
      <color rgb="FFFFFF00"/>
      <name val="Roboto"/>
      <charset val="204"/>
    </font>
    <font>
      <sz val="16"/>
      <color theme="1"/>
      <name val="Roboto"/>
      <charset val="204"/>
    </font>
    <font>
      <u/>
      <sz val="16"/>
      <color theme="9"/>
      <name val="Roboto"/>
      <charset val="204"/>
    </font>
    <font>
      <u/>
      <sz val="16"/>
      <color rgb="FFFF0000"/>
      <name val="Roboto"/>
      <charset val="204"/>
    </font>
    <font>
      <b/>
      <sz val="16"/>
      <color rgb="FFC00000"/>
      <name val="Roboto"/>
      <charset val="204"/>
    </font>
    <font>
      <b/>
      <sz val="24"/>
      <color rgb="FFC00000"/>
      <name val="Roboto"/>
      <charset val="204"/>
    </font>
    <font>
      <sz val="24"/>
      <color rgb="FFC00000"/>
      <name val="Roboto"/>
      <charset val="204"/>
    </font>
    <font>
      <b/>
      <sz val="16"/>
      <color theme="0"/>
      <name val="Roboto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2" borderId="3" xfId="0" applyFont="1" applyFill="1" applyBorder="1"/>
    <xf numFmtId="0" fontId="0" fillId="0" borderId="5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6" fontId="5" fillId="0" borderId="0" xfId="0" applyNumberFormat="1" applyFont="1" applyBorder="1" applyAlignment="1">
      <alignment vertical="center" wrapText="1"/>
    </xf>
    <xf numFmtId="0" fontId="0" fillId="0" borderId="13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" fontId="12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/>
    <xf numFmtId="9" fontId="6" fillId="0" borderId="1" xfId="1" applyFont="1" applyBorder="1"/>
    <xf numFmtId="0" fontId="6" fillId="0" borderId="1" xfId="0" applyFont="1" applyBorder="1" applyAlignment="1">
      <alignment horizontal="center" vertical="center"/>
    </xf>
    <xf numFmtId="0" fontId="10" fillId="5" borderId="14" xfId="0" applyFont="1" applyFill="1" applyBorder="1" applyAlignment="1">
      <alignment vertical="center"/>
    </xf>
    <xf numFmtId="0" fontId="11" fillId="5" borderId="15" xfId="0" applyFont="1" applyFill="1" applyBorder="1"/>
    <xf numFmtId="0" fontId="11" fillId="5" borderId="16" xfId="0" applyFont="1" applyFill="1" applyBorder="1"/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6" fontId="7" fillId="0" borderId="18" xfId="0" applyNumberFormat="1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10" fillId="5" borderId="19" xfId="0" applyFont="1" applyFill="1" applyBorder="1" applyAlignment="1">
      <alignment vertical="center"/>
    </xf>
    <xf numFmtId="0" fontId="11" fillId="5" borderId="20" xfId="0" applyFont="1" applyFill="1" applyBorder="1"/>
    <xf numFmtId="0" fontId="11" fillId="5" borderId="21" xfId="0" applyFont="1" applyFill="1" applyBorder="1"/>
    <xf numFmtId="3" fontId="7" fillId="0" borderId="18" xfId="0" applyNumberFormat="1" applyFont="1" applyBorder="1" applyAlignment="1">
      <alignment vertical="center" wrapText="1"/>
    </xf>
    <xf numFmtId="0" fontId="5" fillId="0" borderId="17" xfId="0" applyFont="1" applyBorder="1"/>
    <xf numFmtId="0" fontId="7" fillId="0" borderId="18" xfId="0" applyFont="1" applyBorder="1"/>
    <xf numFmtId="0" fontId="7" fillId="0" borderId="18" xfId="0" applyFont="1" applyFill="1" applyBorder="1"/>
    <xf numFmtId="0" fontId="5" fillId="0" borderId="22" xfId="0" applyFont="1" applyBorder="1"/>
    <xf numFmtId="1" fontId="6" fillId="0" borderId="23" xfId="0" applyNumberFormat="1" applyFont="1" applyBorder="1"/>
    <xf numFmtId="0" fontId="7" fillId="0" borderId="24" xfId="0" applyFont="1" applyFill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8" xfId="0" applyFont="1" applyFill="1" applyBorder="1"/>
    <xf numFmtId="0" fontId="0" fillId="0" borderId="8" xfId="0" applyFont="1" applyBorder="1"/>
    <xf numFmtId="0" fontId="0" fillId="2" borderId="12" xfId="0" applyFont="1" applyFill="1" applyBorder="1"/>
    <xf numFmtId="0" fontId="0" fillId="2" borderId="10" xfId="0" applyFont="1" applyFill="1" applyBorder="1"/>
    <xf numFmtId="0" fontId="0" fillId="0" borderId="10" xfId="0" applyFont="1" applyBorder="1"/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7" xfId="0" applyFont="1" applyFill="1" applyBorder="1"/>
    <xf numFmtId="0" fontId="0" fillId="2" borderId="2" xfId="0" applyFont="1" applyFill="1" applyBorder="1"/>
    <xf numFmtId="0" fontId="0" fillId="2" borderId="4" xfId="0" applyFont="1" applyFill="1" applyBorder="1"/>
    <xf numFmtId="0" fontId="5" fillId="0" borderId="1" xfId="0" applyFont="1" applyBorder="1" applyAlignment="1">
      <alignment horizontal="center"/>
    </xf>
    <xf numFmtId="1" fontId="0" fillId="0" borderId="3" xfId="0" applyNumberFormat="1" applyBorder="1" applyAlignment="1">
      <alignment vertical="center" wrapText="1"/>
    </xf>
    <xf numFmtId="1" fontId="0" fillId="0" borderId="7" xfId="0" applyNumberFormat="1" applyBorder="1" applyAlignment="1">
      <alignment vertical="center" wrapText="1"/>
    </xf>
    <xf numFmtId="1" fontId="6" fillId="0" borderId="1" xfId="0" applyNumberFormat="1" applyFont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1" fontId="6" fillId="0" borderId="0" xfId="0" applyNumberFormat="1" applyFont="1"/>
    <xf numFmtId="0" fontId="6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 wrapText="1"/>
    </xf>
    <xf numFmtId="0" fontId="19" fillId="0" borderId="0" xfId="0" applyFont="1"/>
    <xf numFmtId="0" fontId="15" fillId="0" borderId="14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9" fillId="0" borderId="15" xfId="0" applyFont="1" applyBorder="1"/>
    <xf numFmtId="0" fontId="19" fillId="0" borderId="16" xfId="0" applyFont="1" applyBorder="1"/>
    <xf numFmtId="0" fontId="19" fillId="8" borderId="28" xfId="0" applyFont="1" applyFill="1" applyBorder="1"/>
    <xf numFmtId="0" fontId="19" fillId="8" borderId="0" xfId="0" applyFont="1" applyFill="1" applyBorder="1"/>
    <xf numFmtId="0" fontId="19" fillId="8" borderId="29" xfId="0" applyFont="1" applyFill="1" applyBorder="1"/>
    <xf numFmtId="0" fontId="19" fillId="9" borderId="20" xfId="0" applyFont="1" applyFill="1" applyBorder="1"/>
    <xf numFmtId="0" fontId="19" fillId="9" borderId="21" xfId="0" applyFont="1" applyFill="1" applyBorder="1"/>
    <xf numFmtId="1" fontId="11" fillId="7" borderId="0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20" fillId="0" borderId="25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20" fillId="0" borderId="27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6" fillId="0" borderId="0" xfId="0" applyFont="1"/>
    <xf numFmtId="0" fontId="19" fillId="0" borderId="0" xfId="0" applyFont="1" applyBorder="1"/>
    <xf numFmtId="0" fontId="19" fillId="9" borderId="0" xfId="0" applyFont="1" applyFill="1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3" xfId="0" applyFont="1" applyBorder="1" applyAlignment="1">
      <alignment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1" fontId="22" fillId="0" borderId="5" xfId="0" applyNumberFormat="1" applyFont="1" applyBorder="1" applyAlignment="1">
      <alignment horizontal="left" vertical="center" wrapText="1"/>
    </xf>
    <xf numFmtId="2" fontId="22" fillId="0" borderId="5" xfId="0" applyNumberFormat="1" applyFont="1" applyBorder="1" applyAlignment="1">
      <alignment horizontal="left" vertical="center" wrapText="1"/>
    </xf>
    <xf numFmtId="2" fontId="22" fillId="0" borderId="5" xfId="0" applyNumberFormat="1" applyFont="1" applyBorder="1" applyAlignment="1">
      <alignment horizontal="right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center"/>
    </xf>
    <xf numFmtId="0" fontId="22" fillId="0" borderId="0" xfId="0" applyFont="1" applyAlignment="1">
      <alignment horizontal="center"/>
    </xf>
    <xf numFmtId="1" fontId="22" fillId="0" borderId="2" xfId="0" applyNumberFormat="1" applyFont="1" applyBorder="1" applyAlignment="1">
      <alignment horizontal="center" vertical="center" wrapText="1"/>
    </xf>
    <xf numFmtId="1" fontId="22" fillId="0" borderId="5" xfId="0" applyNumberFormat="1" applyFont="1" applyBorder="1" applyAlignment="1">
      <alignment horizontal="center" vertical="center" wrapText="1"/>
    </xf>
    <xf numFmtId="0" fontId="22" fillId="0" borderId="7" xfId="0" applyFont="1" applyBorder="1" applyAlignment="1">
      <alignment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2" fontId="22" fillId="0" borderId="2" xfId="0" applyNumberFormat="1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17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0" fillId="2" borderId="1" xfId="0" applyFont="1" applyFill="1" applyBorder="1"/>
    <xf numFmtId="0" fontId="0" fillId="0" borderId="1" xfId="0" applyFont="1" applyBorder="1"/>
    <xf numFmtId="0" fontId="6" fillId="0" borderId="1" xfId="0" applyFont="1" applyBorder="1"/>
    <xf numFmtId="0" fontId="24" fillId="3" borderId="34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 applyBorder="1"/>
    <xf numFmtId="0" fontId="25" fillId="0" borderId="0" xfId="0" applyFont="1" applyBorder="1"/>
    <xf numFmtId="0" fontId="27" fillId="0" borderId="0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22" fillId="0" borderId="18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31" xfId="0" applyFont="1" applyBorder="1"/>
    <xf numFmtId="0" fontId="22" fillId="0" borderId="1" xfId="0" applyFont="1" applyBorder="1" applyAlignment="1">
      <alignment horizontal="left" vertical="center"/>
    </xf>
    <xf numFmtId="0" fontId="25" fillId="9" borderId="30" xfId="0" applyFont="1" applyFill="1" applyBorder="1"/>
    <xf numFmtId="164" fontId="28" fillId="10" borderId="30" xfId="0" applyNumberFormat="1" applyFont="1" applyFill="1" applyBorder="1"/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vertical="top" wrapText="1"/>
    </xf>
    <xf numFmtId="9" fontId="28" fillId="0" borderId="30" xfId="0" applyNumberFormat="1" applyFont="1" applyBorder="1"/>
    <xf numFmtId="0" fontId="19" fillId="9" borderId="28" xfId="0" applyFont="1" applyFill="1" applyBorder="1"/>
    <xf numFmtId="0" fontId="31" fillId="9" borderId="0" xfId="0" applyFont="1" applyFill="1" applyBorder="1"/>
    <xf numFmtId="0" fontId="31" fillId="9" borderId="30" xfId="0" applyFont="1" applyFill="1" applyBorder="1"/>
  </cellXfs>
  <cellStyles count="2">
    <cellStyle name="Обычный" xfId="0" builtinId="0"/>
    <cellStyle name="Процентный" xfId="1" builtinId="5"/>
  </cellStyles>
  <dxfs count="94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2" formatCode="0.00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Roboto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26125302185776"/>
          <c:y val="4.6296195609116075E-2"/>
          <c:w val="0.8093217410323709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995-4708-844D-9DD491E28EE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95-4708-844D-9DD491E28EE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95-4708-844D-9DD491E28E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Dashboard!$A$5:$A$7</c:f>
              <c:strCache>
                <c:ptCount val="3"/>
                <c:pt idx="0">
                  <c:v>Выручка</c:v>
                </c:pt>
                <c:pt idx="1">
                  <c:v>Затраты</c:v>
                </c:pt>
                <c:pt idx="2">
                  <c:v>Чистая прибыль</c:v>
                </c:pt>
              </c:strCache>
            </c:strRef>
          </c:cat>
          <c:val>
            <c:numRef>
              <c:f>Dashboard!$D$5:$D$7</c:f>
              <c:numCache>
                <c:formatCode>#\ ##0.00\ "₽"</c:formatCode>
                <c:ptCount val="3"/>
                <c:pt idx="0">
                  <c:v>72487.75</c:v>
                </c:pt>
                <c:pt idx="1">
                  <c:v>66900</c:v>
                </c:pt>
                <c:pt idx="2">
                  <c:v>5587.75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5-4708-844D-9DD491E28E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4713711"/>
        <c:axId val="2144717039"/>
      </c:barChart>
      <c:catAx>
        <c:axId val="214471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4717039"/>
        <c:crosses val="autoZero"/>
        <c:auto val="1"/>
        <c:lblAlgn val="ctr"/>
        <c:lblOffset val="100"/>
        <c:noMultiLvlLbl val="0"/>
      </c:catAx>
      <c:valAx>
        <c:axId val="2144717039"/>
        <c:scaling>
          <c:orientation val="minMax"/>
        </c:scaling>
        <c:delete val="0"/>
        <c:axPos val="l"/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471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0" i="0" u="none" strike="noStrike" baseline="0"/>
              <a:t>Заполняемость по перегонам</a:t>
            </a:r>
            <a:endParaRPr lang="ru-RU" sz="2000"/>
          </a:p>
        </c:rich>
      </c:tx>
      <c:overlay val="0"/>
      <c:spPr>
        <a:gradFill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5197890747587061E-2"/>
          <c:y val="9.2786677651749153E-2"/>
          <c:w val="0.93427132550505154"/>
          <c:h val="0.61163069551854021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Аналитика!$B$1:$AE$1</c:f>
              <c:strCache>
                <c:ptCount val="30"/>
                <c:pt idx="0">
                  <c:v>Москва (Казанский)</c:v>
                </c:pt>
                <c:pt idx="1">
                  <c:v>Рязань 2</c:v>
                </c:pt>
                <c:pt idx="2">
                  <c:v>Ряжск 1</c:v>
                </c:pt>
                <c:pt idx="3">
                  <c:v>Мичуринск-Вор.</c:v>
                </c:pt>
                <c:pt idx="4">
                  <c:v>Грязи-Воронежские</c:v>
                </c:pt>
                <c:pt idx="5">
                  <c:v>Воронеж 1</c:v>
                </c:pt>
                <c:pt idx="6">
                  <c:v>Лиски</c:v>
                </c:pt>
                <c:pt idx="7">
                  <c:v>Пухово</c:v>
                </c:pt>
                <c:pt idx="8">
                  <c:v>Евдаково</c:v>
                </c:pt>
                <c:pt idx="9">
                  <c:v>Сагуны</c:v>
                </c:pt>
                <c:pt idx="10">
                  <c:v>Подгорное</c:v>
                </c:pt>
                <c:pt idx="11">
                  <c:v>Россошь</c:v>
                </c:pt>
                <c:pt idx="12">
                  <c:v>Райновская</c:v>
                </c:pt>
                <c:pt idx="13">
                  <c:v>Кантемировка</c:v>
                </c:pt>
                <c:pt idx="14">
                  <c:v>Чертково</c:v>
                </c:pt>
                <c:pt idx="15">
                  <c:v>Миллерово</c:v>
                </c:pt>
                <c:pt idx="16">
                  <c:v>Тарасовка</c:v>
                </c:pt>
                <c:pt idx="17">
                  <c:v>Глубокая</c:v>
                </c:pt>
                <c:pt idx="18">
                  <c:v>Каменская</c:v>
                </c:pt>
                <c:pt idx="19">
                  <c:v>Лихая</c:v>
                </c:pt>
                <c:pt idx="20">
                  <c:v>Замчалово</c:v>
                </c:pt>
                <c:pt idx="21">
                  <c:v>Зверево</c:v>
                </c:pt>
                <c:pt idx="22">
                  <c:v>Сулин</c:v>
                </c:pt>
                <c:pt idx="23">
                  <c:v>Шахтная</c:v>
                </c:pt>
                <c:pt idx="24">
                  <c:v>Каменоломни</c:v>
                </c:pt>
                <c:pt idx="25">
                  <c:v>Персиановка</c:v>
                </c:pt>
                <c:pt idx="26">
                  <c:v>Хотунок</c:v>
                </c:pt>
                <c:pt idx="27">
                  <c:v>Новочеркасск</c:v>
                </c:pt>
                <c:pt idx="28">
                  <c:v>Александровка</c:v>
                </c:pt>
                <c:pt idx="29">
                  <c:v>Ростов-Главный</c:v>
                </c:pt>
              </c:strCache>
            </c:strRef>
          </c:cat>
          <c:val>
            <c:numRef>
              <c:f>Аналитика!$B$57:$AD$57</c:f>
              <c:numCache>
                <c:formatCode>0</c:formatCode>
                <c:ptCount val="29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0-4BB4-97FC-D403EA54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728783"/>
        <c:axId val="2103727951"/>
      </c:barChart>
      <c:catAx>
        <c:axId val="210372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/>
                  <a:t>Станции отправления (участки пути)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3727951"/>
        <c:crosses val="autoZero"/>
        <c:auto val="1"/>
        <c:lblAlgn val="ctr"/>
        <c:lblOffset val="100"/>
        <c:noMultiLvlLbl val="0"/>
      </c:catAx>
      <c:valAx>
        <c:axId val="2103727951"/>
        <c:scaling>
          <c:orientation val="minMax"/>
          <c:max val="5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/>
                  <a:t>Пассажиров в вагоне, чел.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372878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 rot="210000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D24-4A02-91E4-E66A17D308F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00-470E-819F-7B309599E0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Dashboard!$AI$6:$AI$7</c:f>
              <c:strCache>
                <c:ptCount val="2"/>
                <c:pt idx="0">
                  <c:v>Рентабельность</c:v>
                </c:pt>
                <c:pt idx="1">
                  <c:v>Загрузка (Load Factor)</c:v>
                </c:pt>
              </c:strCache>
            </c:strRef>
          </c:cat>
          <c:val>
            <c:numRef>
              <c:f>Dashboard!$AL$6:$AL$7</c:f>
              <c:numCache>
                <c:formatCode>0%</c:formatCode>
                <c:ptCount val="2"/>
                <c:pt idx="0">
                  <c:v>7.7085438574103896E-2</c:v>
                </c:pt>
                <c:pt idx="1">
                  <c:v>0.23371647509578544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4-4A02-91E4-E66A17D308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326432"/>
        <c:axId val="476322688"/>
      </c:barChart>
      <c:catAx>
        <c:axId val="4763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22688"/>
        <c:crosses val="autoZero"/>
        <c:auto val="1"/>
        <c:lblAlgn val="ctr"/>
        <c:lblOffset val="100"/>
        <c:noMultiLvlLbl val="0"/>
      </c:catAx>
      <c:valAx>
        <c:axId val="4763226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26432"/>
        <c:crosses val="autoZero"/>
        <c:crossBetween val="between"/>
      </c:valAx>
      <c:spPr>
        <a:noFill/>
        <a:ln cap="sq">
          <a:noFill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Расходы</a:t>
            </a:r>
            <a:r>
              <a:rPr lang="ru-RU" baseline="0"/>
              <a:t> на 1 рейс одного вагона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D9F-4836-A934-E1229ADE4E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 Отчет'!$B$10:$B$14</c:f>
              <c:strCache>
                <c:ptCount val="5"/>
                <c:pt idx="0">
                  <c:v>ФОТ (2 проводника)</c:v>
                </c:pt>
                <c:pt idx="1">
                  <c:v>Стирка белья</c:v>
                </c:pt>
                <c:pt idx="2">
                  <c:v>Станционные сборы</c:v>
                </c:pt>
                <c:pt idx="3">
                  <c:v>Энергия / Тяга</c:v>
                </c:pt>
                <c:pt idx="4">
                  <c:v>ТО и Амортизация</c:v>
                </c:pt>
              </c:strCache>
            </c:strRef>
          </c:cat>
          <c:val>
            <c:numRef>
              <c:f>'P&amp;L Отчет'!$C$10:$C$14</c:f>
              <c:numCache>
                <c:formatCode>General</c:formatCode>
                <c:ptCount val="5"/>
                <c:pt idx="0">
                  <c:v>30000</c:v>
                </c:pt>
                <c:pt idx="1">
                  <c:v>6750</c:v>
                </c:pt>
                <c:pt idx="2" formatCode="0">
                  <c:v>5700</c:v>
                </c:pt>
                <c:pt idx="3">
                  <c:v>18450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F-4836-A934-E1229ADE4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352008</xdr:colOff>
      <xdr:row>3</xdr:row>
      <xdr:rowOff>152400</xdr:rowOff>
    </xdr:from>
    <xdr:to>
      <xdr:col>14</xdr:col>
      <xdr:colOff>166687</xdr:colOff>
      <xdr:row>25</xdr:row>
      <xdr:rowOff>142875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94C39EF-D6C0-4F1A-A590-4E607AC2C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212910</xdr:colOff>
      <xdr:row>30</xdr:row>
      <xdr:rowOff>176314</xdr:rowOff>
    </xdr:from>
    <xdr:to>
      <xdr:col>48</xdr:col>
      <xdr:colOff>44171</xdr:colOff>
      <xdr:row>59</xdr:row>
      <xdr:rowOff>11204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5DBBB10-9F99-4A20-9023-97C913697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472109</xdr:colOff>
      <xdr:row>4</xdr:row>
      <xdr:rowOff>107675</xdr:rowOff>
    </xdr:from>
    <xdr:to>
      <xdr:col>47</xdr:col>
      <xdr:colOff>381000</xdr:colOff>
      <xdr:row>22</xdr:row>
      <xdr:rowOff>124238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C5A6D1F-F81A-4560-8899-02A99576A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83344</xdr:colOff>
      <xdr:row>36</xdr:row>
      <xdr:rowOff>39031</xdr:rowOff>
    </xdr:from>
    <xdr:to>
      <xdr:col>13</xdr:col>
      <xdr:colOff>510432</xdr:colOff>
      <xdr:row>60</xdr:row>
      <xdr:rowOff>1701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9E32B8-2478-40FA-AB0E-15790409D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66675</xdr:colOff>
          <xdr:row>3</xdr:row>
          <xdr:rowOff>57150</xdr:rowOff>
        </xdr:from>
        <xdr:to>
          <xdr:col>33</xdr:col>
          <xdr:colOff>276226</xdr:colOff>
          <xdr:row>63</xdr:row>
          <xdr:rowOff>154081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35F7C84-9171-4A27-8AA1-D580290CC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488156</xdr:colOff>
          <xdr:row>7</xdr:row>
          <xdr:rowOff>169069</xdr:rowOff>
        </xdr:from>
        <xdr:to>
          <xdr:col>62</xdr:col>
          <xdr:colOff>464344</xdr:colOff>
          <xdr:row>57</xdr:row>
          <xdr:rowOff>35719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F9955EB-3076-4F4A-980A-6724D9E53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106872</xdr:colOff>
      <xdr:row>0</xdr:row>
      <xdr:rowOff>62406</xdr:rowOff>
    </xdr:from>
    <xdr:to>
      <xdr:col>23</xdr:col>
      <xdr:colOff>59727</xdr:colOff>
      <xdr:row>10</xdr:row>
      <xdr:rowOff>43962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Тип пассажира">
              <a:extLst>
                <a:ext uri="{FF2B5EF4-FFF2-40B4-BE49-F238E27FC236}">
                  <a16:creationId xmlns:a16="http://schemas.microsoft.com/office/drawing/2014/main" id="{B16BFE56-A6E8-4154-8883-DFCABD1A4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пассажир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80502" y="62406"/>
              <a:ext cx="1833008" cy="22095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23</xdr:col>
      <xdr:colOff>75771</xdr:colOff>
      <xdr:row>0</xdr:row>
      <xdr:rowOff>73902</xdr:rowOff>
    </xdr:from>
    <xdr:to>
      <xdr:col>26</xdr:col>
      <xdr:colOff>77134</xdr:colOff>
      <xdr:row>44</xdr:row>
      <xdr:rowOff>102577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Станция ОТ">
              <a:extLst>
                <a:ext uri="{FF2B5EF4-FFF2-40B4-BE49-F238E27FC236}">
                  <a16:creationId xmlns:a16="http://schemas.microsoft.com/office/drawing/2014/main" id="{BCC3385C-543E-4869-B338-C63831B974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танция ОТ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29554" y="73902"/>
              <a:ext cx="1840102" cy="7897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26</xdr:col>
      <xdr:colOff>92192</xdr:colOff>
      <xdr:row>0</xdr:row>
      <xdr:rowOff>87923</xdr:rowOff>
    </xdr:from>
    <xdr:to>
      <xdr:col>29</xdr:col>
      <xdr:colOff>90777</xdr:colOff>
      <xdr:row>44</xdr:row>
      <xdr:rowOff>102577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Станция ДО">
              <a:extLst>
                <a:ext uri="{FF2B5EF4-FFF2-40B4-BE49-F238E27FC236}">
                  <a16:creationId xmlns:a16="http://schemas.microsoft.com/office/drawing/2014/main" id="{78367C86-C733-438E-9C3D-B7E90273BB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танция ДО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84714" y="87923"/>
              <a:ext cx="1837324" cy="7883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20</xdr:col>
      <xdr:colOff>134815</xdr:colOff>
      <xdr:row>10</xdr:row>
      <xdr:rowOff>74735</xdr:rowOff>
    </xdr:from>
    <xdr:to>
      <xdr:col>23</xdr:col>
      <xdr:colOff>58615</xdr:colOff>
      <xdr:row>23</xdr:row>
      <xdr:rowOff>14654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Тип полки">
              <a:extLst>
                <a:ext uri="{FF2B5EF4-FFF2-40B4-BE49-F238E27FC236}">
                  <a16:creationId xmlns:a16="http://schemas.microsoft.com/office/drawing/2014/main" id="{97DB9437-FB9B-4C27-A259-95EC030F5C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полки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08445" y="2302757"/>
              <a:ext cx="1803953" cy="20933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Роман" refreshedDate="46107.264543634257" backgroundQuery="1" createdVersion="7" refreshedVersion="7" minRefreshableVersion="3" recordCount="0" supportSubquery="1" supportAdvancedDrill="1" xr:uid="{48BF81CD-9E01-44C5-B2D8-53B3BD473402}">
  <cacheSource type="external" connectionId="1"/>
  <cacheFields count="4">
    <cacheField name="[Sales].[Станция ОТ].[Станция ОТ]" caption="Станция ОТ" numFmtId="0" hierarchy="2" level="1">
      <sharedItems containsBlank="1" count="12">
        <m/>
        <s v="Воронеж 1"/>
        <s v="Грязи-Воронежские"/>
        <s v="Каменская"/>
        <s v="Лиски"/>
        <s v="Миллерово"/>
        <s v="Мичуринск-Вор."/>
        <s v="Москва (Казанский)"/>
        <s v="Россошь"/>
        <s v="Рязань 2"/>
        <s v="Хотунок"/>
        <s v="Чертково"/>
      </sharedItems>
    </cacheField>
    <cacheField name="[Sales].[Станция ДО].[Станция ДО]" caption="Станция ДО" numFmtId="0" hierarchy="3" level="1">
      <sharedItems containsBlank="1" count="14">
        <m/>
        <s v="Глубокая"/>
        <s v="Ростов-Главный"/>
        <s v="Новочеркасск"/>
        <s v="Россошь"/>
        <s v="Шахтная"/>
        <s v="Лиски"/>
        <s v="Сулин"/>
        <s v="Чертково"/>
        <s v="Воронеж 1"/>
        <s v="Грязи-Воронежские"/>
        <s v="Миллерово"/>
        <s v="Мичуринск-Вор."/>
        <s v="Каменская"/>
      </sharedItems>
    </cacheField>
    <cacheField name="[Measures].[Число элементов в столбце Цена, ₽]" caption="Число элементов в столбце Цена, ₽" numFmtId="0" hierarchy="17" level="32767"/>
    <cacheField name="[Sales].[Место].[Место]" caption="Место" numFmtId="0" hierarchy="1" level="1">
      <sharedItems containsString="0" containsBlank="1" containsNumber="1" containsInteger="1" minValue="0" maxValue="39" count="20">
        <m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8"/>
        <n v="25"/>
        <n v="33"/>
        <n v="39"/>
      </sharedItems>
      <extLst>
        <ext xmlns:x15="http://schemas.microsoft.com/office/spreadsheetml/2010/11/main" uri="{4F2E5C28-24EA-4eb8-9CBF-B6C8F9C3D259}">
          <x15:cachedUniqueNames>
            <x15:cachedUniqueName index="1" name="[Sales].[Место].&amp;[0]"/>
            <x15:cachedUniqueName index="2" name="[Sales].[Место].&amp;[1]"/>
            <x15:cachedUniqueName index="3" name="[Sales].[Место].&amp;[2]"/>
            <x15:cachedUniqueName index="4" name="[Sales].[Место].&amp;[3]"/>
            <x15:cachedUniqueName index="5" name="[Sales].[Место].&amp;[4]"/>
            <x15:cachedUniqueName index="6" name="[Sales].[Место].&amp;[5]"/>
            <x15:cachedUniqueName index="7" name="[Sales].[Место].&amp;[6]"/>
            <x15:cachedUniqueName index="8" name="[Sales].[Место].&amp;[7]"/>
            <x15:cachedUniqueName index="9" name="[Sales].[Место].&amp;[8]"/>
            <x15:cachedUniqueName index="10" name="[Sales].[Место].&amp;[9]"/>
            <x15:cachedUniqueName index="11" name="[Sales].[Место].&amp;[10]"/>
            <x15:cachedUniqueName index="12" name="[Sales].[Место].&amp;[11]"/>
            <x15:cachedUniqueName index="13" name="[Sales].[Место].&amp;[12]"/>
            <x15:cachedUniqueName index="14" name="[Sales].[Место].&amp;[13]"/>
            <x15:cachedUniqueName index="15" name="[Sales].[Место].&amp;[14]"/>
            <x15:cachedUniqueName index="16" name="[Sales].[Место].&amp;[18]"/>
            <x15:cachedUniqueName index="17" name="[Sales].[Место].&amp;[25]"/>
            <x15:cachedUniqueName index="18" name="[Sales].[Место].&amp;[33]"/>
            <x15:cachedUniqueName index="19" name="[Sales].[Место].&amp;[39]"/>
          </x15:cachedUniqueNames>
        </ext>
      </extLst>
    </cacheField>
  </cacheFields>
  <cacheHierarchies count="19">
    <cacheHierarchy uniqueName="[Sales].[ID билета]" caption="ID билета" attribute="1" defaultMemberUniqueName="[Sales].[ID билета].[All]" allUniqueName="[Sales].[ID билета].[All]" dimensionUniqueName="[Sales]" displayFolder="" count="0" memberValueDatatype="130" unbalanced="0"/>
    <cacheHierarchy uniqueName="[Sales].[Место]" caption="Место" attribute="1" defaultMemberUniqueName="[Sales].[Место].[All]" allUniqueName="[Sales].[Место].[All]" dimensionUniqueName="[Sales]" displayFolder="" count="2" memberValueDatatype="20" unbalanced="0">
      <fieldsUsage count="2">
        <fieldUsage x="-1"/>
        <fieldUsage x="3"/>
      </fieldsUsage>
    </cacheHierarchy>
    <cacheHierarchy uniqueName="[Sales].[Станция ОТ]" caption="Станция ОТ" attribute="1" defaultMemberUniqueName="[Sales].[Станция ОТ].[All]" allUniqueName="[Sales].[Станция ОТ].[All]" dimensionUniqueName="[Sales]" displayFolder="" count="2" memberValueDatatype="130" unbalanced="0">
      <fieldsUsage count="2">
        <fieldUsage x="-1"/>
        <fieldUsage x="0"/>
      </fieldsUsage>
    </cacheHierarchy>
    <cacheHierarchy uniqueName="[Sales].[Станция ДО]" caption="Станция ДО" attribute="1" defaultMemberUniqueName="[Sales].[Станция ДО].[All]" allUniqueName="[Sales].[Станция ДО].[All]" dimensionUniqueName="[Sales]" displayFolder="" count="2" memberValueDatatype="130" unbalanced="0">
      <fieldsUsage count="2">
        <fieldUsage x="-1"/>
        <fieldUsage x="1"/>
      </fieldsUsage>
    </cacheHierarchy>
    <cacheHierarchy uniqueName="[Sales].[Индекс ОТ]" caption="Индекс ОТ" attribute="1" defaultMemberUniqueName="[Sales].[Индекс ОТ].[All]" allUniqueName="[Sales].[Индекс ОТ].[All]" dimensionUniqueName="[Sales]" displayFolder="" count="0" memberValueDatatype="130" unbalanced="0"/>
    <cacheHierarchy uniqueName="[Sales].[Индекс ДО]" caption="Индекс ДО" attribute="1" defaultMemberUniqueName="[Sales].[Индекс ДО].[All]" allUniqueName="[Sales].[Индекс ДО].[All]" dimensionUniqueName="[Sales]" displayFolder="" count="0" memberValueDatatype="130" unbalanced="0"/>
    <cacheHierarchy uniqueName="[Sales].[Тип пассажира]" caption="Тип пассажира" attribute="1" defaultMemberUniqueName="[Sales].[Тип пассажира].[All]" allUniqueName="[Sales].[Тип пассажира].[All]" dimensionUniqueName="[Sales]" displayFolder="" count="0" memberValueDatatype="130" unbalanced="0"/>
    <cacheHierarchy uniqueName="[Sales].[Тип полки]" caption="Тип полки" attribute="1" defaultMemberUniqueName="[Sales].[Тип полки].[All]" allUniqueName="[Sales].[Тип полки].[All]" dimensionUniqueName="[Sales]" displayFolder="" count="2" memberValueDatatype="130" unbalanced="0"/>
    <cacheHierarchy uniqueName="[Sales].[Базовая цена, руб]" caption="Базовая цена, руб" attribute="1" defaultMemberUniqueName="[Sales].[Базовая цена, руб].[All]" allUniqueName="[Sales].[Базовая цена, руб].[All]" dimensionUniqueName="[Sales]" displayFolder="" count="0" memberValueDatatype="130" unbalanced="0"/>
    <cacheHierarchy uniqueName="[Sales].[Сумма скидки льготникам, руб]" caption="Сумма скидки льготникам, руб" attribute="1" defaultMemberUniqueName="[Sales].[Сумма скидки льготникам, руб].[All]" allUniqueName="[Sales].[Сумма скидки льготникам, руб].[All]" dimensionUniqueName="[Sales]" displayFolder="" count="0" memberValueDatatype="130" unbalanced="0"/>
    <cacheHierarchy uniqueName="[Sales].[Сумма скидки тип-места, руб2]" caption="Сумма скидки тип-места, руб2" attribute="1" defaultMemberUniqueName="[Sales].[Сумма скидки тип-места, руб2].[All]" allUniqueName="[Sales].[Сумма скидки тип-места, руб2].[All]" dimensionUniqueName="[Sales]" displayFolder="" count="0" memberValueDatatype="130" unbalanced="0"/>
    <cacheHierarchy uniqueName="[Sales].[Цена, ₽]" caption="Цена, ₽" attribute="1" defaultMemberUniqueName="[Sales].[Цена, ₽].[All]" allUniqueName="[Sales].[Цена, ₽].[All]" dimensionUniqueName="[Sales]" displayFolder="" count="0" memberValueDatatype="130" unbalanced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Сумма по столбцу Место]" caption="Сумма по столбцу Место" measure="1" displayFolder="" measureGroup="Sal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Станция ОТ]" caption="Число элементов в столбце Станция ОТ" measure="1" displayFolder="" measureGroup="Sal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Станция ДО]" caption="Число элементов в столбце Станция ДО" measure="1" displayFolder="" measureGroup="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Число элементов в столбце Цена, ₽]" caption="Число элементов в столбце Цена, ₽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Цена, ₽]" caption="Сумма по столбцу Цена, ₽" measure="1" displayFolder="" measureGroup="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525A5-0FF3-4013-BC7D-2ADE1828BF71}" name="Сводная таблица2" cacheId="8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V38" firstHeaderRow="1" firstDataRow="2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2">
    <field x="0"/>
    <field x="1"/>
  </rowFields>
  <rowItems count="34">
    <i>
      <x/>
    </i>
    <i r="1">
      <x/>
    </i>
    <i>
      <x v="1"/>
    </i>
    <i r="1">
      <x v="1"/>
    </i>
    <i r="1">
      <x v="2"/>
    </i>
    <i>
      <x v="2"/>
    </i>
    <i r="1">
      <x v="3"/>
    </i>
    <i>
      <x v="3"/>
    </i>
    <i r="1">
      <x v="2"/>
    </i>
    <i>
      <x v="4"/>
    </i>
    <i r="1">
      <x v="4"/>
    </i>
    <i>
      <x v="5"/>
    </i>
    <i r="1">
      <x v="5"/>
    </i>
    <i>
      <x v="6"/>
    </i>
    <i r="1">
      <x v="6"/>
    </i>
    <i r="1">
      <x v="7"/>
    </i>
    <i r="1">
      <x v="8"/>
    </i>
    <i>
      <x v="7"/>
    </i>
    <i r="1">
      <x v="9"/>
    </i>
    <i r="1">
      <x v="10"/>
    </i>
    <i r="1">
      <x v="6"/>
    </i>
    <i r="1">
      <x v="11"/>
    </i>
    <i r="1">
      <x v="12"/>
    </i>
    <i r="1">
      <x v="2"/>
    </i>
    <i r="1">
      <x v="8"/>
    </i>
    <i>
      <x v="8"/>
    </i>
    <i r="1">
      <x v="2"/>
    </i>
    <i>
      <x v="9"/>
    </i>
    <i r="1">
      <x v="13"/>
    </i>
    <i>
      <x v="10"/>
    </i>
    <i r="1">
      <x v="2"/>
    </i>
    <i>
      <x v="11"/>
    </i>
    <i r="1">
      <x v="2"/>
    </i>
    <i t="grand">
      <x/>
    </i>
  </rowItems>
  <colFields count="1">
    <field x="3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Число элементов в столбце Цена, ₽" fld="2" subtotal="count" baseField="0" baseItem="0"/>
  </dataFields>
  <formats count="1">
    <format dxfId="11">
      <pivotArea type="all" dataOnly="0" outline="0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Число элементов в столбце Цена, ₽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ZD_Wagon_Analysis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_пассажира" xr10:uid="{76894A10-16C3-4B53-926F-5F1928BBC14F}" sourceName="Тип пассажира">
  <extLst>
    <x:ext xmlns:x15="http://schemas.microsoft.com/office/spreadsheetml/2010/11/main" uri="{2F2917AC-EB37-4324-AD4E-5DD8C200BD13}">
      <x15:tableSlicerCache tableId="8" column="8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танция_ОТ" xr10:uid="{36F4B1BD-A108-4206-99A0-E1EBBFF1479E}" sourceName="Станция ОТ">
  <extLst>
    <x:ext xmlns:x15="http://schemas.microsoft.com/office/spreadsheetml/2010/11/main" uri="{2F2917AC-EB37-4324-AD4E-5DD8C200BD13}">
      <x15:tableSlicerCache tableId="8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танция_ДО" xr10:uid="{E626668B-884A-4740-9F18-2333722133AB}" sourceName="Станция ДО">
  <extLst>
    <x:ext xmlns:x15="http://schemas.microsoft.com/office/spreadsheetml/2010/11/main" uri="{2F2917AC-EB37-4324-AD4E-5DD8C200BD13}">
      <x15:tableSlicerCache tableId="8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_полки" xr10:uid="{796BBDA5-B3E4-4F23-8962-365DE32FF33E}" sourceName="Тип полки">
  <extLst>
    <x:ext xmlns:x15="http://schemas.microsoft.com/office/spreadsheetml/2010/11/main" uri="{2F2917AC-EB37-4324-AD4E-5DD8C200BD13}">
      <x15:tableSlicerCache tableId="8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ип пассажира" xr10:uid="{C5485805-5FEC-42D7-A9EC-4CB2B4410F14}" cache="Срез_Тип_пассажира" caption="Тип пассажира" style="SlicerStyleLight4" rowHeight="241300"/>
  <slicer name="Станция ОТ" xr10:uid="{C43F0DA7-4253-4F54-A711-B5C16F1262E0}" cache="Срез_Станция_ОТ" caption="Станция ОТ" style="SlicerStyleLight6" rowHeight="241300"/>
  <slicer name="Станция ДО" xr10:uid="{9FB22B00-5E3B-48A2-9004-8ECC2F8AD769}" cache="Срез_Станция_ДО" caption="Станция ДО" rowHeight="241300"/>
  <slicer name="Тип полки" xr10:uid="{B7E59D60-73A0-44E0-9847-403AA3723313}" cache="Срез_Тип_полки" caption="Тип полки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B5A39B-8E95-417B-B75E-585BB0B24317}" name="Sales" displayName="Sales" ref="A1:L58" totalsRowCount="1" headerRowDxfId="31" dataDxfId="29" totalsRowDxfId="30" headerRowBorderDxfId="93" tableBorderDxfId="92" totalsRowBorderDxfId="91">
  <autoFilter ref="A1:L57" xr:uid="{31B5A39B-8E95-417B-B75E-585BB0B24317}"/>
  <tableColumns count="12">
    <tableColumn id="1" xr3:uid="{84AF36BE-CA73-439F-972E-52DB0682D62B}" name="ID билета" totalsRowLabel="Итог" dataDxfId="38" totalsRowDxfId="28">
      <calculatedColumnFormula>IF(ISBLANK(Sales[[#This Row],[Место]]),"",CONCATENATE("T-00"&amp;ROW()-1))</calculatedColumnFormula>
    </tableColumn>
    <tableColumn id="2" xr3:uid="{4F85D9F3-1671-4B84-AB75-7CAEE69C000C}" name="Место" totalsRowFunction="count" dataDxfId="37" totalsRowDxfId="27"/>
    <tableColumn id="3" xr3:uid="{C845012A-686C-4C7B-8CE4-E2E3C311C4FB}" name="Станция ОТ" dataDxfId="36" totalsRowDxfId="26"/>
    <tableColumn id="4" xr3:uid="{6F076CFA-E62E-4426-A90D-5FE04A4A43A4}" name="Станция ДО" dataDxfId="35" totalsRowDxfId="25"/>
    <tableColumn id="5" xr3:uid="{C0A769F0-4FF8-407E-9367-0CFA15B5C983}" name="Индекс ОТ" dataDxfId="34" totalsRowDxfId="24">
      <calculatedColumnFormula>IFERROR(_xlfn.XLOOKUP(Sales[[#This Row],[Станция ОТ]],Справочник_станций_и_сборов[Станция (остановка)],Справочник_станций_и_сборов[ID]),"")</calculatedColumnFormula>
    </tableColumn>
    <tableColumn id="6" xr3:uid="{9106AD0E-B365-4A8F-815F-CF668E3DC4BC}" name="Индекс ДО" dataDxfId="33" totalsRowDxfId="23">
      <calculatedColumnFormula>IFERROR(_xlfn.XLOOKUP(Sales[[#This Row],[Станция ДО]],Справочник_станций_и_сборов[Станция (остановка)],Справочник_станций_и_сборов[ID]),"")</calculatedColumnFormula>
    </tableColumn>
    <tableColumn id="8" xr3:uid="{8991EBF0-0BB1-4357-A5C7-84A130B7F03F}" name="Тип пассажира" dataDxfId="32" totalsRowDxfId="22"/>
    <tableColumn id="12" xr3:uid="{E85F814C-31AE-4314-8734-80F24B7F5A4A}" name="Тип полки" dataDxfId="16" totalsRowDxfId="21">
      <calculatedColumnFormula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calculatedColumnFormula>
    </tableColumn>
    <tableColumn id="10" xr3:uid="{20356283-D6A1-4ACA-BAD1-0C923F3CD01A}" name="Базовая цена, руб" dataDxfId="15" totalsRowDxfId="20">
      <calculatedColumnFormula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calculatedColumnFormula>
    </tableColumn>
    <tableColumn id="9" xr3:uid="{E93D0369-BD2D-4A32-AC0C-F9E1A83CA234}" name="Сумма скидки льготникам, руб" dataDxfId="14" totalsRowDxfId="19">
      <calculatedColumnFormula>IFERROR(Sales[[#This Row],[Базовая цена, руб]] * _xlfn.XLOOKUP(Sales[[#This Row],[Тип пассажира]],Тип_пассажира[Наименование],Тип_пассажира[Цена]), "")</calculatedColumnFormula>
    </tableColumn>
    <tableColumn id="13" xr3:uid="{56FD39CC-2393-4FFD-8DA3-8D2C233C1922}" name="Сумма скидки тип-места, руб2" dataDxfId="13" totalsRowDxfId="18">
      <calculatedColumnFormula>IFERROR(Sales[[#This Row],[Базовая цена, руб]] * VALUE(_xlfn.XLOOKUP(Sales[[#This Row],[Тип полки]], Тариф_полок[Тип полки], Тариф_полок[Коэф-нт цены], 1)),"")</calculatedColumnFormula>
    </tableColumn>
    <tableColumn id="7" xr3:uid="{750D534D-E9CF-4927-B73C-EFDA71FEAE91}" name="Цена, ₽" totalsRowFunction="sum" dataDxfId="12" totalsRowDxfId="17">
      <calculatedColumnFormula>IFERROR((Sales[[#This Row],[Базовая цена, руб]]-Sales[[#This Row],[Сумма скидки льготникам, руб]])-Sales[[#This Row],[Сумма скидки тип-места, руб2]],"")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ABDD77-7262-4FC9-B032-488FDBD2BD97}" name="Справочник_станций_и_сборов" displayName="Справочник_станций_и_сборов" ref="A1:G32" totalsRowCount="1" headerRowDxfId="64" dataDxfId="63" headerRowBorderDxfId="61" tableBorderDxfId="62" totalsRowBorderDxfId="60">
  <autoFilter ref="A1:G31" xr:uid="{37ABDD77-7262-4FC9-B032-488FDBD2BD97}"/>
  <tableColumns count="7">
    <tableColumn id="1" xr3:uid="{33B8CCE1-93DB-49A9-8033-B0BF9FE06BC5}" name="ID" totalsRowLabel="Итог" dataDxfId="58" totalsRowDxfId="59"/>
    <tableColumn id="2" xr3:uid="{1509ECBC-111D-4938-8E52-A95BAC88DF5E}" name="Станция (остановка)" dataDxfId="56" totalsRowDxfId="57"/>
    <tableColumn id="3" xr3:uid="{CE1DC133-BDE5-4C0C-A491-EC069C503799}" name="Расстояние от Мск (км)" totalsRowFunction="sum" dataDxfId="54" totalsRowDxfId="55"/>
    <tableColumn id="7" xr3:uid="{2CF10D5C-E939-4E08-8B74-6DF663E56A2D}" name="Длина перегона  (км)" totalsRowFunction="sum" dataDxfId="52" totalsRowDxfId="53">
      <calculatedColumnFormula>Справочник_станций_и_сборов[[#This Row],[Расстояние от Мск (км)]]-C1</calculatedColumnFormula>
    </tableColumn>
    <tableColumn id="4" xr3:uid="{EAF2F92F-0825-4F11-AD74-50D354A4533C}" name="Сбор: Вода (₽)" totalsRowFunction="sum" dataDxfId="50" totalsRowDxfId="51"/>
    <tableColumn id="5" xr3:uid="{32FF20E0-C079-465E-8D1A-093893763734}" name="Сбор: Септик (₽)" totalsRowFunction="sum" dataDxfId="48" totalsRowDxfId="49"/>
    <tableColumn id="6" xr3:uid="{F1A7A499-9A86-4471-BE89-BACA43663863}" name="Примечание" totalsRowFunction="count" dataDxfId="46" totalsRow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518DEE-C568-4F73-A86F-151088FB969D}" name="Затраты" displayName="Затраты" ref="L1:M6" totalsRowShown="0" headerRowDxfId="90" headerRowBorderDxfId="89" tableBorderDxfId="88" totalsRowBorderDxfId="87">
  <autoFilter ref="L1:M6" xr:uid="{C6518DEE-C568-4F73-A86F-151088FB969D}"/>
  <tableColumns count="2">
    <tableColumn id="1" xr3:uid="{177BA2C7-8A27-477E-8E55-F9DD779F0D8F}" name="Статья затрат" dataDxfId="86"/>
    <tableColumn id="2" xr3:uid="{3F46A392-DE41-4FE3-ACB7-4AB706F218B0}" name="Стоимость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9A6F81E-62CF-48A0-BF11-7AA6463220B3}" name="Ценовая_политика" displayName="Ценовая_политика" ref="P1:R5" totalsRowShown="0" headerRowDxfId="84" headerRowBorderDxfId="83" tableBorderDxfId="82" totalsRowBorderDxfId="81">
  <autoFilter ref="P1:R5" xr:uid="{59A6F81E-62CF-48A0-BF11-7AA6463220B3}"/>
  <tableColumns count="3">
    <tableColumn id="1" xr3:uid="{7E2CCFFB-4F35-4B6C-8940-D499E72A9022}" name="Наименование" dataDxfId="80"/>
    <tableColumn id="2" xr3:uid="{50A30EC6-9279-443A-9D07-18D580FD2009}" name="Цена" dataDxfId="79"/>
    <tableColumn id="3" xr3:uid="{0B098F42-5EE9-437D-92BC-638CBFDD3C16}" name="Описание" dataDxfId="7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E5AE05-48DF-4608-B14C-18A3C102DF9A}" name="Тип_пассажира" displayName="Тип_пассажира" ref="P7:R12" totalsRowShown="0" headerRowDxfId="77" headerRowBorderDxfId="76" tableBorderDxfId="75">
  <autoFilter ref="P7:R12" xr:uid="{EBE5AE05-48DF-4608-B14C-18A3C102DF9A}"/>
  <tableColumns count="3">
    <tableColumn id="1" xr3:uid="{A61DD700-9EF3-46AE-9270-968182BB308A}" name="Наименование" dataDxfId="74"/>
    <tableColumn id="2" xr3:uid="{11EE942A-880D-44C7-81A8-F1791599D32F}" name="Цена" dataDxfId="73"/>
    <tableColumn id="3" xr3:uid="{ECF8C177-8B5D-490E-95DA-792735CE7F14}" name="Описание" dataDxfId="7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3723A-1031-468C-8DB1-55DC1A7D6E7F}" name="Тариф_полок" displayName="Тариф_полок" ref="P15:R19" totalsRowShown="0" headerRowDxfId="68" headerRowBorderDxfId="70" tableBorderDxfId="71" totalsRowBorderDxfId="69">
  <autoFilter ref="P15:R19" xr:uid="{BCA3723A-1031-468C-8DB1-55DC1A7D6E7F}"/>
  <tableColumns count="3">
    <tableColumn id="1" xr3:uid="{A2F66D11-26E9-4566-B05F-29B39BBCC4C7}" name="Тип полки" dataDxfId="67"/>
    <tableColumn id="2" xr3:uid="{6765B171-E4F4-4445-A49A-776AC8BC5681}" name="Коэф-нт цены" dataDxfId="65"/>
    <tableColumn id="3" xr3:uid="{1F9D73B8-6AF4-4DDE-A22A-0172D4FEF01A}" name="Примечание" dataDxfId="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A20425-F1C9-439E-8548-49DFEDDC0EEC}" name="ID_купе" displayName="ID_купе" ref="I1:J55" totalsRowShown="0" headerRowDxfId="40" dataDxfId="45" headerRowBorderDxfId="43" tableBorderDxfId="44" totalsRowBorderDxfId="42">
  <autoFilter ref="I1:J55" xr:uid="{00A20425-F1C9-439E-8548-49DFEDDC0EEC}"/>
  <tableColumns count="2">
    <tableColumn id="1" xr3:uid="{86D36A0D-FAB4-4463-83F7-E0B629880D1D}" name="№ места" dataDxfId="41"/>
    <tableColumn id="2" xr3:uid="{E25B515D-057B-490A-9428-8950623DBAB9}" name="№ купе" dataDxfId="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1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3C5E-6C14-4B1C-978A-4994528C33E4}">
  <sheetPr>
    <tabColor rgb="FF00B0F0"/>
  </sheetPr>
  <dimension ref="A1:CO66"/>
  <sheetViews>
    <sheetView showGridLines="0" tabSelected="1" zoomScale="80" zoomScaleNormal="80" workbookViewId="0">
      <selection activeCell="AY62" sqref="AY62"/>
    </sheetView>
  </sheetViews>
  <sheetFormatPr defaultRowHeight="15" x14ac:dyDescent="0.25"/>
  <cols>
    <col min="1" max="2" width="9.140625" style="72"/>
    <col min="3" max="3" width="10.7109375" style="72" customWidth="1"/>
    <col min="4" max="4" width="18.5703125" style="72" bestFit="1" customWidth="1"/>
    <col min="5" max="11" width="9.140625" style="72"/>
    <col min="12" max="12" width="9.140625" style="72" customWidth="1"/>
    <col min="13" max="36" width="9.140625" style="72"/>
    <col min="37" max="37" width="15" style="72" customWidth="1"/>
    <col min="38" max="38" width="9.42578125" style="72" bestFit="1" customWidth="1"/>
    <col min="39" max="47" width="9.140625" style="72"/>
    <col min="48" max="48" width="8.42578125" style="72" customWidth="1"/>
    <col min="49" max="62" width="9.140625" style="72"/>
    <col min="63" max="63" width="9.140625" style="72" customWidth="1"/>
    <col min="64" max="16384" width="9.140625" style="72"/>
  </cols>
  <sheetData>
    <row r="1" spans="1:93" ht="37.5" customHeight="1" x14ac:dyDescent="0.25">
      <c r="A1" s="73" t="s">
        <v>145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6"/>
    </row>
    <row r="2" spans="1:93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9"/>
    </row>
    <row r="3" spans="1:93" ht="15.75" thickBot="1" x14ac:dyDescent="0.3">
      <c r="A3" s="15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1"/>
    </row>
    <row r="4" spans="1:93" x14ac:dyDescent="0.2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144"/>
      <c r="AY4" s="89"/>
      <c r="AZ4" s="89"/>
      <c r="BA4" s="89"/>
      <c r="BB4" s="89"/>
      <c r="BC4" s="89"/>
      <c r="BD4" s="89"/>
      <c r="BE4" s="89"/>
      <c r="BF4" s="89"/>
      <c r="BG4" s="144"/>
      <c r="BH4" s="144"/>
      <c r="BI4" s="145"/>
      <c r="BJ4" s="145"/>
      <c r="BK4" s="145"/>
    </row>
    <row r="5" spans="1:93" s="136" customFormat="1" ht="20.25" x14ac:dyDescent="0.3">
      <c r="A5" s="157" t="s">
        <v>98</v>
      </c>
      <c r="B5" s="150"/>
      <c r="C5" s="150"/>
      <c r="D5" s="151">
        <f>'P&amp;L Отчет'!C6</f>
        <v>72487.75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52"/>
      <c r="AX5" s="137" t="str" cm="1">
        <f t="array" ref="AX5">"Точка роста (Макс. спрос): участок " &amp; INDEX(Справочник!$B$2:$B$31, MATCH(MAX(Аналитика!$B$57:$AD$57), Аналитика!$B$57:$AD$57, 0)) &amp; " — " &amp; INDEX(Справочник!$B$2:$B$31, MATCH(MAX(Аналитика!$B$57:$AD$57), Аналитика!$B$57:$AD$57, 0) + 1) &amp; " (загрузка " &amp; TEXT(MAX(Аналитика!$B$57:$AD$57)/54, "0%") &amp; ")"</f>
        <v>Точка роста (Макс. спрос): участок Мичуринск-Вор. — Грязи-Воронежские (загрузка 28%)</v>
      </c>
      <c r="AY5" s="138"/>
      <c r="BA5" s="138"/>
      <c r="BB5" s="138"/>
      <c r="BC5" s="138"/>
      <c r="BD5" s="138"/>
      <c r="BE5" s="138"/>
      <c r="BF5" s="138"/>
      <c r="BG5" s="152"/>
      <c r="BH5" s="152"/>
      <c r="BI5" s="153"/>
      <c r="BJ5" s="153"/>
      <c r="BK5" s="153"/>
    </row>
    <row r="6" spans="1:93" s="136" customFormat="1" ht="20.25" customHeight="1" x14ac:dyDescent="0.3">
      <c r="A6" s="156" t="s">
        <v>8</v>
      </c>
      <c r="B6" s="150"/>
      <c r="C6" s="150"/>
      <c r="D6" s="151">
        <f>'P&amp;L Отчет'!C15</f>
        <v>66900</v>
      </c>
      <c r="E6" s="138"/>
      <c r="F6" s="138"/>
      <c r="G6" s="138"/>
      <c r="H6" s="138"/>
      <c r="I6" s="138"/>
      <c r="J6" s="138"/>
      <c r="K6" s="138"/>
      <c r="L6" s="138"/>
      <c r="M6" s="138"/>
      <c r="N6" s="138"/>
      <c r="AI6" s="157" t="s">
        <v>9</v>
      </c>
      <c r="AJ6" s="150"/>
      <c r="AK6" s="150"/>
      <c r="AL6" s="154">
        <f>'P&amp;L Отчет'!C22</f>
        <v>7.7085438574103896E-2</v>
      </c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52"/>
      <c r="AX6" s="138"/>
      <c r="AY6" s="138"/>
      <c r="BA6" s="138"/>
      <c r="BB6" s="138"/>
      <c r="BC6" s="138"/>
      <c r="BD6" s="138"/>
      <c r="BE6" s="138"/>
      <c r="BF6" s="138"/>
      <c r="BG6" s="152"/>
      <c r="BH6" s="152"/>
      <c r="BI6" s="153"/>
      <c r="BJ6" s="153"/>
      <c r="BK6" s="153"/>
    </row>
    <row r="7" spans="1:93" s="136" customFormat="1" ht="20.25" x14ac:dyDescent="0.3">
      <c r="A7" s="157" t="s">
        <v>10</v>
      </c>
      <c r="B7" s="150"/>
      <c r="C7" s="150"/>
      <c r="D7" s="151">
        <f>'P&amp;L Отчет'!C19</f>
        <v>5587.75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AI7" s="157" t="s">
        <v>123</v>
      </c>
      <c r="AJ7" s="150"/>
      <c r="AK7" s="150"/>
      <c r="AL7" s="154">
        <f>'P&amp;L Отчет'!C23</f>
        <v>0.23371647509578544</v>
      </c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52"/>
      <c r="AX7" s="139" t="str" cm="1">
        <f t="array" ref="AX7">"Зона риска (Мин. спрос): участок " &amp;
INDEX(Справочник!$B$2:$B$31, MATCH(MIN(Аналитика!$B$57:$AD$57), Аналитика!$B$57:$AD$57, 0)) &amp; " — " &amp;
INDEX(Справочник!$B$2:$B$31, MATCH(MIN(Аналитика!$B$57:$AD$57), Аналитика!$B$57:$AD$57, 0) + 1) &amp;
" (загрузка " &amp; TEXT(MIN(Аналитика!$B$57:$AD$57)/54, "0%") &amp; ")"</f>
        <v>Зона риска (Мин. спрос): участок Шахтная — Каменоломни (загрузка 19%)</v>
      </c>
      <c r="AY7" s="138"/>
      <c r="BA7" s="138"/>
      <c r="BB7" s="138"/>
      <c r="BC7" s="138"/>
      <c r="BD7" s="138"/>
      <c r="BE7" s="138"/>
      <c r="BF7" s="138"/>
      <c r="BG7" s="152"/>
      <c r="BH7" s="152"/>
      <c r="BI7" s="153"/>
      <c r="BJ7" s="153"/>
      <c r="BK7" s="153"/>
      <c r="CL7" s="138"/>
      <c r="CM7" s="138"/>
      <c r="CN7" s="138"/>
      <c r="CO7" s="138"/>
    </row>
    <row r="8" spans="1:93" x14ac:dyDescent="0.25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144"/>
      <c r="AY8" s="89"/>
      <c r="AZ8" s="89"/>
      <c r="BA8" s="89"/>
      <c r="BB8" s="89"/>
      <c r="BC8" s="89"/>
      <c r="BD8" s="89"/>
      <c r="BE8" s="89"/>
      <c r="BF8" s="89"/>
      <c r="BG8" s="144"/>
      <c r="BH8" s="144"/>
      <c r="BI8" s="145"/>
      <c r="BJ8" s="145"/>
      <c r="BK8" s="145"/>
      <c r="CL8" s="89"/>
      <c r="CM8" s="89"/>
      <c r="CN8" s="89"/>
      <c r="CO8" s="89"/>
    </row>
    <row r="9" spans="1:93" x14ac:dyDescent="0.25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144"/>
      <c r="AY9" s="89"/>
      <c r="AZ9" s="89"/>
      <c r="BA9" s="89"/>
      <c r="BB9" s="89"/>
      <c r="BC9" s="89"/>
      <c r="BD9" s="89"/>
      <c r="BE9" s="89"/>
      <c r="BF9" s="89"/>
      <c r="BG9" s="144"/>
      <c r="BH9" s="144"/>
      <c r="BI9" s="145"/>
      <c r="BJ9" s="145"/>
      <c r="BK9" s="145"/>
      <c r="CL9" s="89"/>
      <c r="CM9" s="89"/>
      <c r="CN9" s="89"/>
      <c r="CO9" s="89"/>
    </row>
    <row r="10" spans="1:93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5"/>
      <c r="BJ10" s="145"/>
      <c r="BK10" s="145"/>
      <c r="CL10" s="89"/>
      <c r="CM10" s="89"/>
      <c r="CN10" s="89"/>
      <c r="CO10" s="89"/>
    </row>
    <row r="11" spans="1:93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5"/>
      <c r="BJ11" s="145"/>
      <c r="BK11" s="145"/>
      <c r="CL11" s="89"/>
      <c r="CM11" s="89"/>
      <c r="CN11" s="89"/>
      <c r="CO11" s="89"/>
    </row>
    <row r="12" spans="1:93" x14ac:dyDescent="0.2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5"/>
      <c r="BJ12" s="145"/>
      <c r="BK12" s="145"/>
      <c r="CL12" s="89"/>
      <c r="CM12" s="89"/>
      <c r="CN12" s="89"/>
      <c r="CO12" s="89"/>
    </row>
    <row r="13" spans="1:93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5"/>
      <c r="BJ13" s="145"/>
      <c r="BK13" s="145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</row>
    <row r="14" spans="1:93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5"/>
      <c r="BJ14" s="145"/>
      <c r="BK14" s="145"/>
    </row>
    <row r="15" spans="1:93" x14ac:dyDescent="0.2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5"/>
      <c r="BJ15" s="145"/>
      <c r="BK15" s="145"/>
    </row>
    <row r="16" spans="1:93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5"/>
      <c r="BJ16" s="145"/>
      <c r="BK16" s="145"/>
    </row>
    <row r="17" spans="1:63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5"/>
      <c r="BJ17" s="145"/>
      <c r="BK17" s="145"/>
    </row>
    <row r="18" spans="1:63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5"/>
      <c r="BJ18" s="145"/>
      <c r="BK18" s="145"/>
    </row>
    <row r="19" spans="1:63" x14ac:dyDescent="0.2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5"/>
      <c r="BJ19" s="145"/>
      <c r="BK19" s="145"/>
    </row>
    <row r="20" spans="1:63" x14ac:dyDescent="0.2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5"/>
      <c r="BJ20" s="145"/>
      <c r="BK20" s="145"/>
    </row>
    <row r="21" spans="1:63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5"/>
      <c r="BJ21" s="145"/>
      <c r="BK21" s="145"/>
    </row>
    <row r="22" spans="1:63" x14ac:dyDescent="0.25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5"/>
      <c r="BJ22" s="145"/>
      <c r="BK22" s="145"/>
    </row>
    <row r="23" spans="1:63" x14ac:dyDescent="0.2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5"/>
      <c r="BJ23" s="145"/>
      <c r="BK23" s="145"/>
    </row>
    <row r="24" spans="1:63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5"/>
      <c r="BJ24" s="145"/>
      <c r="BK24" s="145"/>
    </row>
    <row r="25" spans="1:63" x14ac:dyDescent="0.25"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5"/>
      <c r="BJ25" s="145"/>
      <c r="BK25" s="145"/>
    </row>
    <row r="26" spans="1:63" x14ac:dyDescent="0.25"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5"/>
      <c r="BJ26" s="145"/>
      <c r="BK26" s="145"/>
    </row>
    <row r="27" spans="1:63" x14ac:dyDescent="0.25"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5"/>
      <c r="BJ27" s="145"/>
      <c r="BK27" s="145"/>
    </row>
    <row r="28" spans="1:63" x14ac:dyDescent="0.25"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5"/>
      <c r="BJ28" s="145"/>
      <c r="BK28" s="145"/>
    </row>
    <row r="29" spans="1:63" x14ac:dyDescent="0.25"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5"/>
      <c r="BJ29" s="145"/>
      <c r="BK29" s="145"/>
    </row>
    <row r="30" spans="1:63" x14ac:dyDescent="0.25"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5"/>
      <c r="BJ30" s="145"/>
      <c r="BK30" s="145"/>
    </row>
    <row r="31" spans="1:63" x14ac:dyDescent="0.25"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5"/>
      <c r="BJ31" s="145"/>
      <c r="BK31" s="145"/>
    </row>
    <row r="32" spans="1:63" x14ac:dyDescent="0.25"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5"/>
      <c r="BJ32" s="145"/>
      <c r="BK32" s="145"/>
    </row>
    <row r="33" spans="49:63" x14ac:dyDescent="0.25"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5"/>
      <c r="BJ33" s="145"/>
      <c r="BK33" s="145"/>
    </row>
    <row r="34" spans="49:63" x14ac:dyDescent="0.25"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5"/>
      <c r="BJ34" s="145"/>
      <c r="BK34" s="145"/>
    </row>
    <row r="35" spans="49:63" x14ac:dyDescent="0.25"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5"/>
      <c r="BJ35" s="145"/>
      <c r="BK35" s="145"/>
    </row>
    <row r="36" spans="49:63" x14ac:dyDescent="0.25"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5"/>
      <c r="BJ36" s="145"/>
      <c r="BK36" s="145"/>
    </row>
    <row r="37" spans="49:63" x14ac:dyDescent="0.25"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5"/>
      <c r="BJ37" s="145"/>
      <c r="BK37" s="145"/>
    </row>
    <row r="38" spans="49:63" x14ac:dyDescent="0.25"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5"/>
      <c r="BJ38" s="145"/>
      <c r="BK38" s="145"/>
    </row>
    <row r="39" spans="49:63" x14ac:dyDescent="0.25"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5"/>
      <c r="BJ39" s="145"/>
      <c r="BK39" s="145"/>
    </row>
    <row r="40" spans="49:63" x14ac:dyDescent="0.25"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5"/>
      <c r="BJ40" s="145"/>
      <c r="BK40" s="145"/>
    </row>
    <row r="41" spans="49:63" x14ac:dyDescent="0.25"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5"/>
      <c r="BJ41" s="145"/>
      <c r="BK41" s="145"/>
    </row>
    <row r="42" spans="49:63" x14ac:dyDescent="0.25"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5"/>
      <c r="BJ42" s="145"/>
      <c r="BK42" s="145"/>
    </row>
    <row r="43" spans="49:63" x14ac:dyDescent="0.25"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5"/>
      <c r="BJ43" s="145"/>
      <c r="BK43" s="145"/>
    </row>
    <row r="44" spans="49:63" x14ac:dyDescent="0.25"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5"/>
      <c r="BJ44" s="145"/>
      <c r="BK44" s="145"/>
    </row>
    <row r="45" spans="49:63" x14ac:dyDescent="0.25"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5"/>
      <c r="BJ45" s="145"/>
      <c r="BK45" s="145"/>
    </row>
    <row r="46" spans="49:63" x14ac:dyDescent="0.25"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5"/>
      <c r="BJ46" s="145"/>
      <c r="BK46" s="145"/>
    </row>
    <row r="47" spans="49:63" x14ac:dyDescent="0.25"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5"/>
      <c r="BJ47" s="145"/>
      <c r="BK47" s="145"/>
    </row>
    <row r="48" spans="49:63" x14ac:dyDescent="0.25"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5"/>
      <c r="BJ48" s="145"/>
      <c r="BK48" s="145"/>
    </row>
    <row r="49" spans="40:71" x14ac:dyDescent="0.25"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5"/>
      <c r="BJ49" s="145"/>
      <c r="BK49" s="145"/>
    </row>
    <row r="50" spans="40:71" x14ac:dyDescent="0.25"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5"/>
      <c r="BJ50" s="145"/>
      <c r="BK50" s="145"/>
    </row>
    <row r="51" spans="40:71" x14ac:dyDescent="0.25"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5"/>
      <c r="BJ51" s="145"/>
      <c r="BK51" s="145"/>
    </row>
    <row r="52" spans="40:71" x14ac:dyDescent="0.25"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5"/>
      <c r="BJ52" s="145"/>
      <c r="BK52" s="145"/>
    </row>
    <row r="53" spans="40:71" x14ac:dyDescent="0.25"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5"/>
      <c r="BJ53" s="145"/>
      <c r="BK53" s="145"/>
    </row>
    <row r="54" spans="40:71" x14ac:dyDescent="0.25"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5"/>
      <c r="BJ54" s="145"/>
      <c r="BK54" s="145"/>
    </row>
    <row r="55" spans="40:71" x14ac:dyDescent="0.25"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5"/>
      <c r="BJ55" s="145"/>
      <c r="BK55" s="145"/>
    </row>
    <row r="56" spans="40:71" x14ac:dyDescent="0.25">
      <c r="AN56" s="144"/>
      <c r="AO56" s="144"/>
      <c r="AP56" s="144"/>
      <c r="AQ56" s="144"/>
      <c r="AR56" s="144"/>
      <c r="AS56" s="144"/>
      <c r="AT56" s="144"/>
      <c r="AU56" s="144"/>
      <c r="AV56" s="144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</row>
    <row r="57" spans="40:71" x14ac:dyDescent="0.25">
      <c r="AN57" s="144"/>
      <c r="AO57" s="144"/>
      <c r="AP57" s="144"/>
      <c r="AQ57" s="144"/>
      <c r="AR57" s="144"/>
      <c r="AS57" s="144"/>
      <c r="AT57" s="144"/>
      <c r="AU57" s="144"/>
      <c r="AV57" s="144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</row>
    <row r="58" spans="40:71" x14ac:dyDescent="0.25">
      <c r="AN58" s="144"/>
      <c r="AO58" s="144"/>
      <c r="AP58" s="144"/>
      <c r="AQ58" s="144"/>
      <c r="AR58" s="144"/>
      <c r="AS58" s="144"/>
      <c r="AT58" s="144"/>
      <c r="AU58" s="144"/>
      <c r="AV58" s="144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</row>
    <row r="59" spans="40:71" x14ac:dyDescent="0.25"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</row>
    <row r="60" spans="40:71" x14ac:dyDescent="0.25"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  <c r="BS60" s="145"/>
    </row>
    <row r="61" spans="40:71" x14ac:dyDescent="0.25"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  <c r="BS61" s="145"/>
    </row>
    <row r="62" spans="40:71" x14ac:dyDescent="0.25"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  <c r="BS62" s="145"/>
    </row>
    <row r="63" spans="40:71" x14ac:dyDescent="0.25"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  <c r="BS63" s="145"/>
    </row>
    <row r="64" spans="40:71" x14ac:dyDescent="0.25">
      <c r="AO64" s="145"/>
      <c r="AP64" s="145"/>
      <c r="AQ64" s="145"/>
      <c r="AR64" s="145"/>
      <c r="AS64" s="145"/>
      <c r="AT64" s="145"/>
      <c r="AU64" s="145"/>
      <c r="AV64" s="145"/>
      <c r="BL64" s="145"/>
      <c r="BM64" s="145"/>
      <c r="BN64" s="145"/>
      <c r="BO64" s="145"/>
      <c r="BP64" s="145"/>
      <c r="BQ64" s="145"/>
      <c r="BR64" s="145"/>
      <c r="BS64" s="145"/>
    </row>
    <row r="65" spans="41:71" x14ac:dyDescent="0.25">
      <c r="AO65" s="145"/>
      <c r="AP65" s="145"/>
      <c r="AQ65" s="145"/>
      <c r="AR65" s="145"/>
      <c r="AS65" s="145"/>
      <c r="AT65" s="145"/>
      <c r="AU65" s="145"/>
      <c r="AV65" s="145"/>
      <c r="BL65" s="145"/>
      <c r="BM65" s="145"/>
      <c r="BN65" s="145"/>
      <c r="BO65" s="145"/>
      <c r="BP65" s="145"/>
      <c r="BQ65" s="145"/>
      <c r="BR65" s="145"/>
      <c r="BS65" s="145"/>
    </row>
    <row r="66" spans="41:71" x14ac:dyDescent="0.25">
      <c r="AO66" s="145"/>
      <c r="AP66" s="145"/>
      <c r="AQ66" s="145"/>
      <c r="AR66" s="145"/>
      <c r="AS66" s="145"/>
      <c r="AT66" s="145"/>
      <c r="AU66" s="145"/>
      <c r="AV66" s="145"/>
      <c r="BL66" s="145"/>
      <c r="BM66" s="145"/>
      <c r="BN66" s="145"/>
      <c r="BO66" s="145"/>
      <c r="BP66" s="145"/>
      <c r="BQ66" s="145"/>
      <c r="BR66" s="145"/>
      <c r="BS66" s="145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14</xdr:col>
                <xdr:colOff>66675</xdr:colOff>
                <xdr:row>3</xdr:row>
                <xdr:rowOff>57150</xdr:rowOff>
              </from>
              <to>
                <xdr:col>33</xdr:col>
                <xdr:colOff>276225</xdr:colOff>
                <xdr:row>63</xdr:row>
                <xdr:rowOff>152400</xdr:rowOff>
              </to>
            </anchor>
          </objectPr>
        </oleObject>
      </mc:Choice>
      <mc:Fallback>
        <oleObject progId="Word.Document.12" shapeId="1025" r:id="rId4"/>
      </mc:Fallback>
    </mc:AlternateContent>
    <mc:AlternateContent xmlns:mc="http://schemas.openxmlformats.org/markup-compatibility/2006">
      <mc:Choice Requires="x14">
        <oleObject progId="Word.Document.12" shapeId="1027" r:id="rId6">
          <objectPr defaultSize="0" autoPict="0" r:id="rId7">
            <anchor moveWithCells="1">
              <from>
                <xdr:col>48</xdr:col>
                <xdr:colOff>28575</xdr:colOff>
                <xdr:row>7</xdr:row>
                <xdr:rowOff>152400</xdr:rowOff>
              </from>
              <to>
                <xdr:col>62</xdr:col>
                <xdr:colOff>600075</xdr:colOff>
                <xdr:row>57</xdr:row>
                <xdr:rowOff>19050</xdr:rowOff>
              </to>
            </anchor>
          </objectPr>
        </oleObject>
      </mc:Choice>
      <mc:Fallback>
        <oleObject progId="Word.Document.12" shapeId="102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582D-484D-4C49-A066-ADA2B2C143EC}">
  <sheetPr>
    <tabColor theme="9"/>
  </sheetPr>
  <dimension ref="A1:U58"/>
  <sheetViews>
    <sheetView zoomScale="115" zoomScaleNormal="115" workbookViewId="0">
      <selection activeCell="S43" sqref="S43"/>
    </sheetView>
  </sheetViews>
  <sheetFormatPr defaultRowHeight="12.75" x14ac:dyDescent="0.2"/>
  <cols>
    <col min="1" max="1" width="9.42578125" style="108" customWidth="1"/>
    <col min="2" max="2" width="8" style="108" customWidth="1"/>
    <col min="3" max="4" width="19.42578125" style="108" bestFit="1" customWidth="1"/>
    <col min="5" max="6" width="8.28515625" style="108" customWidth="1"/>
    <col min="7" max="7" width="22" style="108" customWidth="1"/>
    <col min="8" max="8" width="22.28515625" style="108" customWidth="1"/>
    <col min="9" max="11" width="11.5703125" style="108" customWidth="1"/>
    <col min="12" max="12" width="10.5703125" style="108" customWidth="1"/>
    <col min="13" max="13" width="11.85546875" style="108" customWidth="1"/>
    <col min="14" max="14" width="11.7109375" style="108" customWidth="1"/>
    <col min="15" max="15" width="23" style="108" customWidth="1"/>
    <col min="16" max="16" width="10.140625" style="108" customWidth="1"/>
    <col min="17" max="17" width="18.85546875" style="108" customWidth="1"/>
    <col min="18" max="18" width="21.42578125" style="108" customWidth="1"/>
    <col min="19" max="19" width="20.5703125" style="108" customWidth="1"/>
    <col min="20" max="20" width="9.140625" style="108" customWidth="1"/>
    <col min="21" max="21" width="10.140625" style="118" customWidth="1"/>
    <col min="22" max="22" width="8.85546875" style="108" customWidth="1"/>
    <col min="23" max="16384" width="9.140625" style="108"/>
  </cols>
  <sheetData>
    <row r="1" spans="1:21" ht="51" x14ac:dyDescent="0.2">
      <c r="A1" s="99" t="s">
        <v>48</v>
      </c>
      <c r="B1" s="134" t="s">
        <v>6</v>
      </c>
      <c r="C1" s="134" t="s">
        <v>49</v>
      </c>
      <c r="D1" s="134" t="s">
        <v>50</v>
      </c>
      <c r="E1" s="100" t="s">
        <v>51</v>
      </c>
      <c r="F1" s="100" t="s">
        <v>52</v>
      </c>
      <c r="G1" s="135" t="s">
        <v>106</v>
      </c>
      <c r="H1" s="101" t="s">
        <v>124</v>
      </c>
      <c r="I1" s="101" t="s">
        <v>132</v>
      </c>
      <c r="J1" s="101" t="s">
        <v>137</v>
      </c>
      <c r="K1" s="101" t="s">
        <v>138</v>
      </c>
      <c r="L1" s="101" t="s">
        <v>53</v>
      </c>
      <c r="M1" s="102"/>
      <c r="N1" s="103" t="s">
        <v>118</v>
      </c>
      <c r="O1" s="104" t="s">
        <v>124</v>
      </c>
      <c r="P1" s="103" t="s">
        <v>119</v>
      </c>
      <c r="Q1" s="105" t="s">
        <v>139</v>
      </c>
      <c r="R1" s="133" t="s">
        <v>135</v>
      </c>
      <c r="S1" s="106" t="s">
        <v>120</v>
      </c>
      <c r="T1" s="107" t="s">
        <v>122</v>
      </c>
      <c r="U1" s="108"/>
    </row>
    <row r="2" spans="1:21" x14ac:dyDescent="0.2">
      <c r="A2" s="109" t="str">
        <f>IF(ISBLANK(Sales[[#This Row],[Место]]),"",CONCATENATE("T-00"&amp;ROW()-1))</f>
        <v>T-001</v>
      </c>
      <c r="B2" s="110">
        <v>1</v>
      </c>
      <c r="C2" s="111" t="s">
        <v>18</v>
      </c>
      <c r="D2" s="111" t="s">
        <v>45</v>
      </c>
      <c r="E2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2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2" s="112" t="s">
        <v>11</v>
      </c>
      <c r="H2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2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5105</v>
      </c>
      <c r="J2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2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2" s="114">
        <f>IFERROR((Sales[[#This Row],[Базовая цена, руб]]-Sales[[#This Row],[Сумма скидки льготникам, руб]])-Sales[[#This Row],[Сумма скидки тип-места, руб2]],"")</f>
        <v>5105</v>
      </c>
      <c r="N2" s="115" t="str">
        <f ca="1">IF(ISBLANK(P2),"","Свободно")</f>
        <v>Свободно</v>
      </c>
      <c r="O2" s="116" t="str">
        <f ca="1">IF(ISBLANK(P2),"",IF(P2&gt;36, IF(MOD(P2,2)=0, "Верхнее боковое место", "Нижнее боковое место"), IF(MOD(P2,2)=0, "Верхнее место", "Нижнее место")))</f>
        <v>Нижнее место</v>
      </c>
      <c r="P2" s="127" cm="1">
        <f t="array" aca="1" ref="P2:P38" ca="1">_xlfn._xlws.FILTER(Аналитика!A3:A56, Аналитика!AF3:AF56="Свободно", "Мест нет")</f>
        <v>15</v>
      </c>
      <c r="Q2" s="149" t="str">
        <f ca="1">IFERROR(VLOOKUP(P2,Аналитика!A3:AH56,34,0),"")</f>
        <v>Частично</v>
      </c>
      <c r="R2" s="148"/>
      <c r="S2" s="128" t="s">
        <v>18</v>
      </c>
      <c r="T2" s="146">
        <f>VALUE(_xlfn.XLOOKUP(S2,Справочник_станций_и_сборов[Станция (остановка)],Справочник_станций_и_сборов[ID]))</f>
        <v>1</v>
      </c>
      <c r="U2" s="108"/>
    </row>
    <row r="3" spans="1:21" x14ac:dyDescent="0.2">
      <c r="A3" s="109" t="str">
        <f>IF(ISBLANK(Sales[[#This Row],[Место]]),"",CONCATENATE("T-00"&amp;ROW()-1))</f>
        <v>T-002</v>
      </c>
      <c r="B3" s="110">
        <v>2</v>
      </c>
      <c r="C3" s="111" t="s">
        <v>18</v>
      </c>
      <c r="D3" s="111" t="s">
        <v>25</v>
      </c>
      <c r="E3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3" s="110">
        <f>IFERROR(_xlfn.XLOOKUP(Sales[[#This Row],[Станция ДО]],Справочник_станций_и_сборов[Станция (остановка)],Справочник_станций_и_сборов[ID]),"")</f>
        <v>6</v>
      </c>
      <c r="G3" s="112" t="s">
        <v>11</v>
      </c>
      <c r="H3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3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2861.5</v>
      </c>
      <c r="J3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3" s="114">
        <f>IFERROR(Sales[[#This Row],[Базовая цена, руб]] * VALUE(_xlfn.XLOOKUP(Sales[[#This Row],[Тип полки]], Тариф_полок[Тип полки], Тариф_полок[Коэф-нт цены], 1)),"")</f>
        <v>286.15000000000003</v>
      </c>
      <c r="L3" s="114">
        <f>IFERROR((Sales[[#This Row],[Базовая цена, руб]]-Sales[[#This Row],[Сумма скидки льготникам, руб]])-Sales[[#This Row],[Сумма скидки тип-места, руб2]],"")</f>
        <v>2575.35</v>
      </c>
      <c r="N3" s="115" t="str">
        <f t="shared" ref="N3:N43" ca="1" si="0">IF(ISBLANK(P3),"","Свободно")</f>
        <v>Свободно</v>
      </c>
      <c r="O3" s="116" t="str">
        <f t="shared" ref="O3:O43" ca="1" si="1">IF(ISBLANK(P3),"",IF(P3&gt;36, IF(MOD(P3,2)=0, "Верхнее боковое место", "Нижнее боковое место"), IF(MOD(P3,2)=0, "Верхнее место", "Нижнее место")))</f>
        <v>Верхнее место</v>
      </c>
      <c r="P3" s="127">
        <f ca="1"/>
        <v>16</v>
      </c>
      <c r="Q3" s="149" t="str">
        <f ca="1">IFERROR(VLOOKUP(P3,Аналитика!A4:AH57,34,0),"")</f>
        <v>Частично</v>
      </c>
      <c r="R3" s="148"/>
      <c r="S3" s="128" t="s">
        <v>20</v>
      </c>
      <c r="T3" s="146">
        <f>VALUE(_xlfn.XLOOKUP(S3,Справочник_станций_и_сборов[Станция (остановка)],Справочник_станций_и_сборов[ID]))</f>
        <v>2</v>
      </c>
      <c r="U3" s="108"/>
    </row>
    <row r="4" spans="1:21" x14ac:dyDescent="0.2">
      <c r="A4" s="109" t="str">
        <f>IF(ISBLANK(Sales[[#This Row],[Место]]),"",CONCATENATE("T-00"&amp;ROW()-1))</f>
        <v>T-003</v>
      </c>
      <c r="B4" s="110">
        <v>2</v>
      </c>
      <c r="C4" s="111" t="s">
        <v>25</v>
      </c>
      <c r="D4" s="111" t="s">
        <v>45</v>
      </c>
      <c r="E4" s="110">
        <f>IFERROR(_xlfn.XLOOKUP(Sales[[#This Row],[Станция ОТ]],Справочник_станций_и_сборов[Станция (остановка)],Справочник_станций_и_сборов[ID]),"")</f>
        <v>6</v>
      </c>
      <c r="F4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4" s="112" t="s">
        <v>11</v>
      </c>
      <c r="H4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4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3043.5</v>
      </c>
      <c r="J4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4" s="114">
        <f>IFERROR(Sales[[#This Row],[Базовая цена, руб]] * VALUE(_xlfn.XLOOKUP(Sales[[#This Row],[Тип полки]], Тариф_полок[Тип полки], Тариф_полок[Коэф-нт цены], 1)),"")</f>
        <v>304.35000000000002</v>
      </c>
      <c r="L4" s="114">
        <f>IFERROR((Sales[[#This Row],[Базовая цена, руб]]-Sales[[#This Row],[Сумма скидки льготникам, руб]])-Sales[[#This Row],[Сумма скидки тип-места, руб2]],"")</f>
        <v>2739.15</v>
      </c>
      <c r="N4" s="115" t="str">
        <f t="shared" ca="1" si="0"/>
        <v>Свободно</v>
      </c>
      <c r="O4" s="116" t="str">
        <f t="shared" ca="1" si="1"/>
        <v>Нижнее место</v>
      </c>
      <c r="P4" s="127">
        <f ca="1"/>
        <v>17</v>
      </c>
      <c r="Q4" s="149" t="str">
        <f ca="1">IFERROR(VLOOKUP(P4,Аналитика!A5:AH58,34,0),"")</f>
        <v>Частично</v>
      </c>
      <c r="R4" s="148"/>
      <c r="S4" s="128" t="s">
        <v>21</v>
      </c>
      <c r="T4" s="146">
        <f>VALUE(_xlfn.XLOOKUP(S4,Справочник_станций_и_сборов[Станция (остановка)],Справочник_станций_и_сборов[ID]))</f>
        <v>3</v>
      </c>
      <c r="U4" s="108"/>
    </row>
    <row r="5" spans="1:21" ht="20.25" customHeight="1" x14ac:dyDescent="0.2">
      <c r="A5" s="109" t="str">
        <f>IF(ISBLANK(Sales[[#This Row],[Место]]),"",CONCATENATE("T-00"&amp;ROW()-1))</f>
        <v>T-004</v>
      </c>
      <c r="B5" s="110">
        <v>3</v>
      </c>
      <c r="C5" s="111" t="s">
        <v>18</v>
      </c>
      <c r="D5" s="111" t="s">
        <v>22</v>
      </c>
      <c r="E5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5" s="110">
        <f>IFERROR(_xlfn.XLOOKUP(Sales[[#This Row],[Станция ДО]],Справочник_станций_и_сборов[Станция (остановка)],Справочник_станций_и_сборов[ID]),"")</f>
        <v>4</v>
      </c>
      <c r="G5" s="112" t="s">
        <v>11</v>
      </c>
      <c r="H5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5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2235</v>
      </c>
      <c r="J5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5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5" s="114">
        <f>IFERROR((Sales[[#This Row],[Базовая цена, руб]]-Sales[[#This Row],[Сумма скидки льготникам, руб]])-Sales[[#This Row],[Сумма скидки тип-места, руб2]],"")</f>
        <v>2235</v>
      </c>
      <c r="N5" s="115" t="str">
        <f t="shared" ca="1" si="0"/>
        <v>Свободно</v>
      </c>
      <c r="O5" s="116" t="str">
        <f t="shared" ca="1" si="1"/>
        <v>Нижнее место</v>
      </c>
      <c r="P5" s="127">
        <f ca="1"/>
        <v>19</v>
      </c>
      <c r="Q5" s="149" t="str">
        <f ca="1">IFERROR(VLOOKUP(P5,Аналитика!A6:AH59,34,0),"")</f>
        <v>Частично</v>
      </c>
      <c r="R5" s="148" t="s">
        <v>116</v>
      </c>
      <c r="S5" s="128" t="s">
        <v>22</v>
      </c>
      <c r="T5" s="146">
        <f>VALUE(_xlfn.XLOOKUP(S5,Справочник_станций_и_сборов[Станция (остановка)],Справочник_станций_и_сборов[ID]))</f>
        <v>4</v>
      </c>
      <c r="U5" s="108"/>
    </row>
    <row r="6" spans="1:21" x14ac:dyDescent="0.2">
      <c r="A6" s="109" t="str">
        <f>IF(ISBLANK(Sales[[#This Row],[Место]]),"",CONCATENATE("T-00"&amp;ROW()-1))</f>
        <v>T-005</v>
      </c>
      <c r="B6" s="110">
        <v>3</v>
      </c>
      <c r="C6" s="111" t="s">
        <v>22</v>
      </c>
      <c r="D6" s="111" t="s">
        <v>27</v>
      </c>
      <c r="E6" s="110">
        <f>IFERROR(_xlfn.XLOOKUP(Sales[[#This Row],[Станция ОТ]],Справочник_станций_и_сборов[Станция (остановка)],Справочник_станций_и_сборов[ID]),"")</f>
        <v>4</v>
      </c>
      <c r="F6" s="110">
        <f>IFERROR(_xlfn.XLOOKUP(Sales[[#This Row],[Станция ДО]],Справочник_станций_и_сборов[Станция (остановка)],Справочник_станций_и_сборов[ID]),"")</f>
        <v>7</v>
      </c>
      <c r="G6" s="112" t="s">
        <v>11</v>
      </c>
      <c r="H6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6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1769.5</v>
      </c>
      <c r="J6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6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6" s="114">
        <f>IFERROR((Sales[[#This Row],[Базовая цена, руб]]-Sales[[#This Row],[Сумма скидки льготникам, руб]])-Sales[[#This Row],[Сумма скидки тип-места, руб2]],"")</f>
        <v>1769.5</v>
      </c>
      <c r="N6" s="115" t="str">
        <f t="shared" ca="1" si="0"/>
        <v>Свободно</v>
      </c>
      <c r="O6" s="116" t="str">
        <f t="shared" ca="1" si="1"/>
        <v>Верхнее место</v>
      </c>
      <c r="P6" s="127">
        <f ca="1"/>
        <v>20</v>
      </c>
      <c r="Q6" s="149" t="str">
        <f ca="1">IFERROR(VLOOKUP(P6,Аналитика!A7:AH60,34,0),"")</f>
        <v>Частично</v>
      </c>
      <c r="R6" s="148"/>
      <c r="S6" s="128" t="s">
        <v>24</v>
      </c>
      <c r="T6" s="146">
        <f>VALUE(_xlfn.XLOOKUP(S6,Справочник_станций_и_сборов[Станция (остановка)],Справочник_станций_и_сборов[ID]))</f>
        <v>5</v>
      </c>
      <c r="U6" s="108"/>
    </row>
    <row r="7" spans="1:21" x14ac:dyDescent="0.2">
      <c r="A7" s="109" t="str">
        <f>IF(ISBLANK(Sales[[#This Row],[Место]]),"",CONCATENATE("T-00"&amp;ROW()-1))</f>
        <v>T-006</v>
      </c>
      <c r="B7" s="110">
        <v>3</v>
      </c>
      <c r="C7" s="111" t="s">
        <v>0</v>
      </c>
      <c r="D7" s="111" t="s">
        <v>45</v>
      </c>
      <c r="E7" s="110">
        <f>IFERROR(_xlfn.XLOOKUP(Sales[[#This Row],[Станция ОТ]],Справочник_станций_и_сборов[Станция (остановка)],Справочник_станций_и_сборов[ID]),"")</f>
        <v>12</v>
      </c>
      <c r="F7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7" s="112" t="s">
        <v>11</v>
      </c>
      <c r="H7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7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2224.5</v>
      </c>
      <c r="J7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7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7" s="114">
        <f>IFERROR((Sales[[#This Row],[Базовая цена, руб]]-Sales[[#This Row],[Сумма скидки льготникам, руб]])-Sales[[#This Row],[Сумма скидки тип-места, руб2]],"")</f>
        <v>2224.5</v>
      </c>
      <c r="N7" s="115" t="str">
        <f t="shared" ca="1" si="0"/>
        <v>Свободно</v>
      </c>
      <c r="O7" s="116" t="str">
        <f t="shared" ca="1" si="1"/>
        <v>Нижнее место</v>
      </c>
      <c r="P7" s="127">
        <f ca="1"/>
        <v>21</v>
      </c>
      <c r="Q7" s="149" t="str">
        <f ca="1">IFERROR(VLOOKUP(P7,Аналитика!A8:AH61,34,0),"")</f>
        <v>Целое купе/отсек</v>
      </c>
      <c r="R7" s="148"/>
      <c r="S7" s="128" t="s">
        <v>25</v>
      </c>
      <c r="T7" s="146">
        <f>VALUE(_xlfn.XLOOKUP(S7,Справочник_станций_и_сборов[Станция (остановка)],Справочник_станций_и_сборов[ID]))</f>
        <v>6</v>
      </c>
      <c r="U7" s="108"/>
    </row>
    <row r="8" spans="1:21" x14ac:dyDescent="0.2">
      <c r="A8" s="109" t="str">
        <f>IF(ISBLANK(Sales[[#This Row],[Место]]),"",CONCATENATE("T-00"&amp;ROW()-1))</f>
        <v>T-007</v>
      </c>
      <c r="B8" s="119">
        <v>4</v>
      </c>
      <c r="C8" s="111" t="s">
        <v>20</v>
      </c>
      <c r="D8" s="111" t="s">
        <v>2</v>
      </c>
      <c r="E8" s="110">
        <f>IFERROR(_xlfn.XLOOKUP(Sales[[#This Row],[Станция ОТ]],Справочник_станций_и_сборов[Станция (остановка)],Справочник_станций_и_сборов[ID]),"")</f>
        <v>2</v>
      </c>
      <c r="F8" s="110">
        <f>IFERROR(_xlfn.XLOOKUP(Sales[[#This Row],[Станция ДО]],Справочник_станций_и_сборов[Станция (остановка)],Справочник_станций_и_сборов[ID]),"")</f>
        <v>19</v>
      </c>
      <c r="G8" s="112" t="s">
        <v>11</v>
      </c>
      <c r="H8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8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3834.5</v>
      </c>
      <c r="J8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8" s="114">
        <f>IFERROR(Sales[[#This Row],[Базовая цена, руб]] * VALUE(_xlfn.XLOOKUP(Sales[[#This Row],[Тип полки]], Тариф_полок[Тип полки], Тариф_полок[Коэф-нт цены], 1)),"")</f>
        <v>383.45000000000005</v>
      </c>
      <c r="L8" s="114">
        <f>IFERROR((Sales[[#This Row],[Базовая цена, руб]]-Sales[[#This Row],[Сумма скидки льготникам, руб]])-Sales[[#This Row],[Сумма скидки тип-места, руб2]],"")</f>
        <v>3451.05</v>
      </c>
      <c r="N8" s="115" t="str">
        <f t="shared" ca="1" si="0"/>
        <v>Свободно</v>
      </c>
      <c r="O8" s="116" t="str">
        <f t="shared" ca="1" si="1"/>
        <v>Верхнее место</v>
      </c>
      <c r="P8" s="127">
        <f ca="1"/>
        <v>22</v>
      </c>
      <c r="Q8" s="149" t="str">
        <f ca="1">IFERROR(VLOOKUP(P8,Аналитика!A9:AH62,34,0),"")</f>
        <v>Целое купе/отсек</v>
      </c>
      <c r="R8" s="148"/>
      <c r="S8" s="128" t="s">
        <v>27</v>
      </c>
      <c r="T8" s="146">
        <f>VALUE(_xlfn.XLOOKUP(S8,Справочник_станций_и_сборов[Станция (остановка)],Справочник_станций_и_сборов[ID]))</f>
        <v>7</v>
      </c>
      <c r="U8" s="108"/>
    </row>
    <row r="9" spans="1:21" x14ac:dyDescent="0.2">
      <c r="A9" s="109" t="str">
        <f>IF(ISBLANK(Sales[[#This Row],[Место]]),"",CONCATENATE("T-00"&amp;ROW()-1))</f>
        <v>T-008</v>
      </c>
      <c r="B9" s="110">
        <v>18</v>
      </c>
      <c r="C9" s="111" t="s">
        <v>25</v>
      </c>
      <c r="D9" s="111" t="s">
        <v>45</v>
      </c>
      <c r="E9" s="110">
        <f>IFERROR(_xlfn.XLOOKUP(Sales[[#This Row],[Станция ОТ]],Справочник_станций_и_сборов[Станция (остановка)],Справочник_станций_и_сборов[ID]),"")</f>
        <v>6</v>
      </c>
      <c r="F9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9" s="112" t="s">
        <v>11</v>
      </c>
      <c r="H9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9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3043.5</v>
      </c>
      <c r="J9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9" s="114">
        <f>IFERROR(Sales[[#This Row],[Базовая цена, руб]] * VALUE(_xlfn.XLOOKUP(Sales[[#This Row],[Тип полки]], Тариф_полок[Тип полки], Тариф_полок[Коэф-нт цены], 1)),"")</f>
        <v>304.35000000000002</v>
      </c>
      <c r="L9" s="114">
        <f>IFERROR((Sales[[#This Row],[Базовая цена, руб]]-Sales[[#This Row],[Сумма скидки льготникам, руб]])-Sales[[#This Row],[Сумма скидки тип-места, руб2]],"")</f>
        <v>2739.15</v>
      </c>
      <c r="N9" s="115" t="str">
        <f t="shared" ca="1" si="0"/>
        <v>Свободно</v>
      </c>
      <c r="O9" s="116" t="str">
        <f t="shared" ca="1" si="1"/>
        <v>Нижнее место</v>
      </c>
      <c r="P9" s="127">
        <f ca="1"/>
        <v>23</v>
      </c>
      <c r="Q9" s="149" t="str">
        <f ca="1">IFERROR(VLOOKUP(P9,Аналитика!A10:AH63,34,0),"")</f>
        <v>Целое купе/отсек</v>
      </c>
      <c r="R9" s="148"/>
      <c r="S9" s="128" t="s">
        <v>28</v>
      </c>
      <c r="T9" s="146">
        <f>VALUE(_xlfn.XLOOKUP(S9,Справочник_станций_и_сборов[Станция (остановка)],Справочник_станций_и_сборов[ID]))</f>
        <v>8</v>
      </c>
      <c r="U9" s="108"/>
    </row>
    <row r="10" spans="1:21" x14ac:dyDescent="0.2">
      <c r="A10" s="109" t="str">
        <f>IF(ISBLANK(Sales[[#This Row],[Место]]),"",CONCATENATE("T-00"&amp;ROW()-1))</f>
        <v>T-009</v>
      </c>
      <c r="B10" s="110">
        <v>14</v>
      </c>
      <c r="C10" s="111" t="s">
        <v>1</v>
      </c>
      <c r="D10" s="111" t="s">
        <v>4</v>
      </c>
      <c r="E10" s="110">
        <f>IFERROR(_xlfn.XLOOKUP(Sales[[#This Row],[Станция ОТ]],Справочник_станций_и_сборов[Станция (остановка)],Справочник_станций_и_сборов[ID]),"")</f>
        <v>16</v>
      </c>
      <c r="F10" s="110">
        <f>IFERROR(_xlfn.XLOOKUP(Sales[[#This Row],[Станция ДО]],Справочник_станций_и_сборов[Станция (остановка)],Справочник_станций_и_сборов[ID]),"")</f>
        <v>24</v>
      </c>
      <c r="G10" s="112" t="s">
        <v>11</v>
      </c>
      <c r="H10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10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1363.5</v>
      </c>
      <c r="J10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0" s="114">
        <f>IFERROR(Sales[[#This Row],[Базовая цена, руб]] * VALUE(_xlfn.XLOOKUP(Sales[[#This Row],[Тип полки]], Тариф_полок[Тип полки], Тариф_полок[Коэф-нт цены], 1)),"")</f>
        <v>136.35</v>
      </c>
      <c r="L10" s="114">
        <f>IFERROR((Sales[[#This Row],[Базовая цена, руб]]-Sales[[#This Row],[Сумма скидки льготникам, руб]])-Sales[[#This Row],[Сумма скидки тип-места, руб2]],"")</f>
        <v>1227.1500000000001</v>
      </c>
      <c r="N10" s="115" t="str">
        <f t="shared" ca="1" si="0"/>
        <v>Свободно</v>
      </c>
      <c r="O10" s="116" t="str">
        <f t="shared" ca="1" si="1"/>
        <v>Верхнее место</v>
      </c>
      <c r="P10" s="127">
        <f ca="1"/>
        <v>24</v>
      </c>
      <c r="Q10" s="149" t="str">
        <f ca="1">IFERROR(VLOOKUP(P10,Аналитика!A11:AH64,34,0),"")</f>
        <v>Целое купе/отсек</v>
      </c>
      <c r="R10" s="148"/>
      <c r="S10" s="128" t="s">
        <v>29</v>
      </c>
      <c r="T10" s="146">
        <f>VALUE(_xlfn.XLOOKUP(S10,Справочник_станций_и_сборов[Станция (остановка)],Справочник_станций_и_сборов[ID]))</f>
        <v>9</v>
      </c>
      <c r="U10" s="108"/>
    </row>
    <row r="11" spans="1:21" x14ac:dyDescent="0.2">
      <c r="A11" s="109" t="str">
        <f>IF(ISBLANK(Sales[[#This Row],[Место]]),"",CONCATENATE("T-00"&amp;ROW()-1))</f>
        <v>T-0010</v>
      </c>
      <c r="B11" s="110">
        <v>39</v>
      </c>
      <c r="C11" s="111" t="s">
        <v>22</v>
      </c>
      <c r="D11" s="111" t="s">
        <v>40</v>
      </c>
      <c r="E11" s="110">
        <f>IFERROR(_xlfn.XLOOKUP(Sales[[#This Row],[Станция ОТ]],Справочник_станций_и_сборов[Станция (остановка)],Справочник_станций_и_сборов[ID]),"")</f>
        <v>4</v>
      </c>
      <c r="F11" s="110">
        <f>IFERROR(_xlfn.XLOOKUP(Sales[[#This Row],[Станция ДО]],Справочник_станций_и_сборов[Станция (остановка)],Справочник_станций_и_сборов[ID]),"")</f>
        <v>23</v>
      </c>
      <c r="G11" s="112" t="s">
        <v>11</v>
      </c>
      <c r="H11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боковое место</v>
      </c>
      <c r="I11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3313</v>
      </c>
      <c r="J11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1" s="114">
        <f>IFERROR(Sales[[#This Row],[Базовая цена, руб]] * VALUE(_xlfn.XLOOKUP(Sales[[#This Row],[Тип полки]], Тариф_полок[Тип полки], Тариф_полок[Коэф-нт цены], 1)),"")</f>
        <v>496.95</v>
      </c>
      <c r="L11" s="114">
        <f>IFERROR((Sales[[#This Row],[Базовая цена, руб]]-Sales[[#This Row],[Сумма скидки льготникам, руб]])-Sales[[#This Row],[Сумма скидки тип-места, руб2]],"")</f>
        <v>2816.05</v>
      </c>
      <c r="N11" s="115" t="str">
        <f t="shared" ca="1" si="0"/>
        <v>Свободно</v>
      </c>
      <c r="O11" s="116" t="str">
        <f t="shared" ca="1" si="1"/>
        <v>Нижнее место</v>
      </c>
      <c r="P11" s="127">
        <f ca="1"/>
        <v>25</v>
      </c>
      <c r="Q11" s="149" t="str">
        <f ca="1">IFERROR(VLOOKUP(P11,Аналитика!A12:AH65,34,0),"")</f>
        <v>Целое купе/отсек</v>
      </c>
      <c r="R11" s="148"/>
      <c r="S11" s="128" t="s">
        <v>30</v>
      </c>
      <c r="T11" s="146">
        <f>VALUE(_xlfn.XLOOKUP(S11,Справочник_станций_и_сборов[Станция (остановка)],Справочник_станций_и_сборов[ID]))</f>
        <v>10</v>
      </c>
      <c r="U11" s="108"/>
    </row>
    <row r="12" spans="1:21" x14ac:dyDescent="0.2">
      <c r="A12" s="109" t="str">
        <f>IF(ISBLANK(Sales[[#This Row],[Место]]),"",CONCATENATE("T-00"&amp;ROW()-1))</f>
        <v>T-0011</v>
      </c>
      <c r="B12" s="110">
        <v>33</v>
      </c>
      <c r="C12" s="111" t="s">
        <v>18</v>
      </c>
      <c r="D12" s="111" t="s">
        <v>24</v>
      </c>
      <c r="E12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12" s="110">
        <f>IFERROR(_xlfn.XLOOKUP(Sales[[#This Row],[Станция ДО]],Справочник_станций_и_сборов[Станция (остановка)],Справочник_станций_и_сборов[ID]),"")</f>
        <v>5</v>
      </c>
      <c r="G12" s="112" t="s">
        <v>11</v>
      </c>
      <c r="H12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12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2448.5</v>
      </c>
      <c r="J12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2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12" s="114">
        <f>IFERROR((Sales[[#This Row],[Базовая цена, руб]]-Sales[[#This Row],[Сумма скидки льготникам, руб]])-Sales[[#This Row],[Сумма скидки тип-места, руб2]],"")</f>
        <v>2448.5</v>
      </c>
      <c r="N12" s="115" t="str">
        <f t="shared" ca="1" si="0"/>
        <v>Свободно</v>
      </c>
      <c r="O12" s="116" t="str">
        <f t="shared" ca="1" si="1"/>
        <v>Верхнее место</v>
      </c>
      <c r="P12" s="127">
        <f ca="1"/>
        <v>26</v>
      </c>
      <c r="Q12" s="149" t="str">
        <f ca="1">IFERROR(VLOOKUP(P12,Аналитика!A13:AH66,34,0),"")</f>
        <v>Целое купе/отсек</v>
      </c>
      <c r="R12" s="148"/>
      <c r="S12" s="128" t="s">
        <v>31</v>
      </c>
      <c r="T12" s="146">
        <f>VALUE(_xlfn.XLOOKUP(S12,Справочник_станций_и_сборов[Станция (остановка)],Справочник_станций_и_сборов[ID]))</f>
        <v>11</v>
      </c>
      <c r="U12" s="108"/>
    </row>
    <row r="13" spans="1:21" x14ac:dyDescent="0.2">
      <c r="A13" s="109" t="str">
        <f>IF(ISBLANK(Sales[[#This Row],[Место]]),"",CONCATENATE("T-00"&amp;ROW()-1))</f>
        <v>T-0012</v>
      </c>
      <c r="B13" s="110">
        <v>25</v>
      </c>
      <c r="C13" s="111" t="s">
        <v>43</v>
      </c>
      <c r="D13" s="111" t="s">
        <v>45</v>
      </c>
      <c r="E13" s="110">
        <f>IFERROR(_xlfn.XLOOKUP(Sales[[#This Row],[Станция ОТ]],Справочник_станций_и_сборов[Станция (остановка)],Справочник_станций_и_сборов[ID]),"")</f>
        <v>27</v>
      </c>
      <c r="F13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13" s="112" t="s">
        <v>11</v>
      </c>
      <c r="H13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13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940</v>
      </c>
      <c r="J13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3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13" s="114">
        <f>IFERROR((Sales[[#This Row],[Базовая цена, руб]]-Sales[[#This Row],[Сумма скидки льготникам, руб]])-Sales[[#This Row],[Сумма скидки тип-места, руб2]],"")</f>
        <v>940</v>
      </c>
      <c r="N13" s="115" t="str">
        <f t="shared" ca="1" si="0"/>
        <v>Свободно</v>
      </c>
      <c r="O13" s="116" t="str">
        <f t="shared" ca="1" si="1"/>
        <v>Нижнее место</v>
      </c>
      <c r="P13" s="127">
        <f ca="1"/>
        <v>27</v>
      </c>
      <c r="Q13" s="149" t="str">
        <f ca="1">IFERROR(VLOOKUP(P13,Аналитика!A14:AH67,34,0),"")</f>
        <v>Целое купе/отсек</v>
      </c>
      <c r="R13" s="148"/>
      <c r="S13" s="128" t="s">
        <v>0</v>
      </c>
      <c r="T13" s="146">
        <f>VALUE(_xlfn.XLOOKUP(S13,Справочник_станций_и_сборов[Станция (остановка)],Справочник_станций_и_сборов[ID]))</f>
        <v>12</v>
      </c>
      <c r="U13" s="108"/>
    </row>
    <row r="14" spans="1:21" x14ac:dyDescent="0.2">
      <c r="A14" s="109" t="str">
        <f>IF(ISBLANK(Sales[[#This Row],[Место]]),"",CONCATENATE("T-00"&amp;ROW()-1))</f>
        <v>T-0013</v>
      </c>
      <c r="B14" s="110">
        <v>5</v>
      </c>
      <c r="C14" s="111" t="s">
        <v>22</v>
      </c>
      <c r="D14" s="111" t="s">
        <v>34</v>
      </c>
      <c r="E14" s="110">
        <f>IFERROR(_xlfn.XLOOKUP(Sales[[#This Row],[Станция ОТ]],Справочник_станций_и_сборов[Станция (остановка)],Справочник_станций_и_сборов[ID]),"")</f>
        <v>4</v>
      </c>
      <c r="F14" s="110">
        <f>IFERROR(_xlfn.XLOOKUP(Sales[[#This Row],[Станция ДО]],Справочник_станций_и_сборов[Станция (остановка)],Справочник_станций_и_сборов[ID]),"")</f>
        <v>15</v>
      </c>
      <c r="G14" s="112" t="s">
        <v>11</v>
      </c>
      <c r="H14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14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2620</v>
      </c>
      <c r="J14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4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14" s="114">
        <f>IFERROR((Sales[[#This Row],[Базовая цена, руб]]-Sales[[#This Row],[Сумма скидки льготникам, руб]])-Sales[[#This Row],[Сумма скидки тип-места, руб2]],"")</f>
        <v>2620</v>
      </c>
      <c r="N14" s="115" t="str">
        <f t="shared" ca="1" si="0"/>
        <v>Свободно</v>
      </c>
      <c r="O14" s="116" t="str">
        <f t="shared" ca="1" si="1"/>
        <v>Верхнее место</v>
      </c>
      <c r="P14" s="127">
        <f ca="1"/>
        <v>28</v>
      </c>
      <c r="Q14" s="149" t="str">
        <f ca="1">IFERROR(VLOOKUP(P14,Аналитика!A15:AH68,34,0),"")</f>
        <v>Целое купе/отсек</v>
      </c>
      <c r="R14" s="148"/>
      <c r="S14" s="128" t="s">
        <v>32</v>
      </c>
      <c r="T14" s="146">
        <f>VALUE(_xlfn.XLOOKUP(S14,Справочник_станций_и_сборов[Станция (остановка)],Справочник_станций_и_сборов[ID]))</f>
        <v>13</v>
      </c>
      <c r="U14" s="108"/>
    </row>
    <row r="15" spans="1:21" x14ac:dyDescent="0.2">
      <c r="A15" s="109" t="str">
        <f>IF(ISBLANK(Sales[[#This Row],[Место]]),"",CONCATENATE("T-00"&amp;ROW()-1))</f>
        <v>T-0014</v>
      </c>
      <c r="B15" s="110">
        <v>5</v>
      </c>
      <c r="C15" s="111" t="s">
        <v>34</v>
      </c>
      <c r="D15" s="111" t="s">
        <v>45</v>
      </c>
      <c r="E15" s="110">
        <f>IFERROR(_xlfn.XLOOKUP(Sales[[#This Row],[Станция ОТ]],Справочник_станций_и_сборов[Станция (остановка)],Справочник_станций_и_сборов[ID]),"")</f>
        <v>15</v>
      </c>
      <c r="F15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15" s="112" t="s">
        <v>11</v>
      </c>
      <c r="H15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15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1850</v>
      </c>
      <c r="J15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5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15" s="114">
        <f>IFERROR((Sales[[#This Row],[Базовая цена, руб]]-Sales[[#This Row],[Сумма скидки льготникам, руб]])-Sales[[#This Row],[Сумма скидки тип-места, руб2]],"")</f>
        <v>1850</v>
      </c>
      <c r="N15" s="115" t="str">
        <f t="shared" ca="1" si="0"/>
        <v>Свободно</v>
      </c>
      <c r="O15" s="116" t="str">
        <f t="shared" ca="1" si="1"/>
        <v>Нижнее место</v>
      </c>
      <c r="P15" s="127">
        <f ca="1"/>
        <v>29</v>
      </c>
      <c r="Q15" s="149" t="str">
        <f ca="1">IFERROR(VLOOKUP(P15,Аналитика!A16:AH69,34,0),"")</f>
        <v>Частично</v>
      </c>
      <c r="R15" s="148"/>
      <c r="S15" s="128" t="s">
        <v>33</v>
      </c>
      <c r="T15" s="146">
        <f>VALUE(_xlfn.XLOOKUP(S15,Справочник_станций_и_сборов[Станция (остановка)],Справочник_станций_и_сборов[ID]))</f>
        <v>14</v>
      </c>
      <c r="U15" s="108"/>
    </row>
    <row r="16" spans="1:21" x14ac:dyDescent="0.2">
      <c r="A16" s="109" t="str">
        <f>IF(ISBLANK(Sales[[#This Row],[Место]]),"",CONCATENATE("T-00"&amp;ROW()-1))</f>
        <v>T-0015</v>
      </c>
      <c r="B16" s="110">
        <v>4</v>
      </c>
      <c r="C16" s="111" t="s">
        <v>2</v>
      </c>
      <c r="D16" s="111" t="s">
        <v>45</v>
      </c>
      <c r="E16" s="110">
        <f>IFERROR(_xlfn.XLOOKUP(Sales[[#This Row],[Станция ОТ]],Справочник_станций_и_сборов[Станция (остановка)],Справочник_станций_и_сборов[ID]),"")</f>
        <v>19</v>
      </c>
      <c r="F16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16" s="112" t="s">
        <v>11</v>
      </c>
      <c r="H16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16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1377.5</v>
      </c>
      <c r="J16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6" s="114">
        <f>IFERROR(Sales[[#This Row],[Базовая цена, руб]] * VALUE(_xlfn.XLOOKUP(Sales[[#This Row],[Тип полки]], Тариф_полок[Тип полки], Тариф_полок[Коэф-нт цены], 1)),"")</f>
        <v>137.75</v>
      </c>
      <c r="L16" s="114">
        <f>IFERROR((Sales[[#This Row],[Базовая цена, руб]]-Sales[[#This Row],[Сумма скидки льготникам, руб]])-Sales[[#This Row],[Сумма скидки тип-места, руб2]],"")</f>
        <v>1239.75</v>
      </c>
      <c r="N16" s="115" t="str">
        <f t="shared" ca="1" si="0"/>
        <v>Свободно</v>
      </c>
      <c r="O16" s="116" t="str">
        <f t="shared" ca="1" si="1"/>
        <v>Верхнее место</v>
      </c>
      <c r="P16" s="127">
        <f ca="1"/>
        <v>30</v>
      </c>
      <c r="Q16" s="149" t="str">
        <f ca="1">IFERROR(VLOOKUP(P16,Аналитика!A17:AH70,34,0),"")</f>
        <v>Частично</v>
      </c>
      <c r="R16" s="148" t="s">
        <v>117</v>
      </c>
      <c r="S16" s="128" t="s">
        <v>34</v>
      </c>
      <c r="T16" s="146">
        <f>VALUE(_xlfn.XLOOKUP(S16,Справочник_станций_и_сборов[Станция (остановка)],Справочник_станций_и_сборов[ID]))</f>
        <v>15</v>
      </c>
      <c r="U16" s="108"/>
    </row>
    <row r="17" spans="1:21" x14ac:dyDescent="0.2">
      <c r="A17" s="109" t="str">
        <f>IF(ISBLANK(Sales[[#This Row],[Место]]),"",CONCATENATE("T-00"&amp;ROW()-1))</f>
        <v>T-0016</v>
      </c>
      <c r="B17" s="110">
        <v>6</v>
      </c>
      <c r="C17" s="111" t="s">
        <v>18</v>
      </c>
      <c r="D17" s="111" t="s">
        <v>25</v>
      </c>
      <c r="E17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17" s="110">
        <f>IFERROR(_xlfn.XLOOKUP(Sales[[#This Row],[Станция ДО]],Справочник_станций_и_сборов[Станция (остановка)],Справочник_станций_и_сборов[ID]),"")</f>
        <v>6</v>
      </c>
      <c r="G17" s="112" t="s">
        <v>11</v>
      </c>
      <c r="H17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17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2861.5</v>
      </c>
      <c r="J17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7" s="114">
        <f>IFERROR(Sales[[#This Row],[Базовая цена, руб]] * VALUE(_xlfn.XLOOKUP(Sales[[#This Row],[Тип полки]], Тариф_полок[Тип полки], Тариф_полок[Коэф-нт цены], 1)),"")</f>
        <v>286.15000000000003</v>
      </c>
      <c r="L17" s="114">
        <f>IFERROR((Sales[[#This Row],[Базовая цена, руб]]-Sales[[#This Row],[Сумма скидки льготникам, руб]])-Sales[[#This Row],[Сумма скидки тип-места, руб2]],"")</f>
        <v>2575.35</v>
      </c>
      <c r="N17" s="115" t="str">
        <f t="shared" ca="1" si="0"/>
        <v>Свободно</v>
      </c>
      <c r="O17" s="116" t="str">
        <f t="shared" ca="1" si="1"/>
        <v>Нижнее место</v>
      </c>
      <c r="P17" s="127">
        <f ca="1"/>
        <v>31</v>
      </c>
      <c r="Q17" s="149" t="str">
        <f ca="1">IFERROR(VLOOKUP(P17,Аналитика!A18:AH71,34,0),"")</f>
        <v>Частично</v>
      </c>
      <c r="R17" s="148"/>
      <c r="S17" s="128" t="s">
        <v>1</v>
      </c>
      <c r="T17" s="146">
        <f>VALUE(_xlfn.XLOOKUP(S17,Справочник_станций_и_сборов[Станция (остановка)],Справочник_станций_и_сборов[ID]))</f>
        <v>16</v>
      </c>
      <c r="U17" s="108"/>
    </row>
    <row r="18" spans="1:21" x14ac:dyDescent="0.2">
      <c r="A18" s="109" t="str">
        <f>IF(ISBLANK(Sales[[#This Row],[Место]]),"",CONCATENATE("T-00"&amp;ROW()-1))</f>
        <v>T-0017</v>
      </c>
      <c r="B18" s="110">
        <v>7</v>
      </c>
      <c r="C18" s="111" t="s">
        <v>18</v>
      </c>
      <c r="D18" s="111" t="s">
        <v>1</v>
      </c>
      <c r="E18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18" s="110">
        <f>IFERROR(_xlfn.XLOOKUP(Sales[[#This Row],[Станция ДО]],Справочник_станций_и_сборов[Станция (остановка)],Справочник_станций_и_сборов[ID]),"")</f>
        <v>16</v>
      </c>
      <c r="G18" s="112" t="s">
        <v>11</v>
      </c>
      <c r="H18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18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4286</v>
      </c>
      <c r="J18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8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18" s="114">
        <f>IFERROR((Sales[[#This Row],[Базовая цена, руб]]-Sales[[#This Row],[Сумма скидки льготникам, руб]])-Sales[[#This Row],[Сумма скидки тип-места, руб2]],"")</f>
        <v>4286</v>
      </c>
      <c r="N18" s="115" t="str">
        <f t="shared" ca="1" si="0"/>
        <v>Свободно</v>
      </c>
      <c r="O18" s="116" t="str">
        <f t="shared" ca="1" si="1"/>
        <v>Верхнее место</v>
      </c>
      <c r="P18" s="127">
        <f ca="1"/>
        <v>32</v>
      </c>
      <c r="Q18" s="149" t="str">
        <f ca="1">IFERROR(VLOOKUP(P18,Аналитика!A19:AH72,34,0),"")</f>
        <v>Частично</v>
      </c>
      <c r="R18" s="148"/>
      <c r="S18" s="128" t="s">
        <v>35</v>
      </c>
      <c r="T18" s="146">
        <f>VALUE(_xlfn.XLOOKUP(S18,Справочник_станций_и_сборов[Станция (остановка)],Справочник_станций_и_сборов[ID]))</f>
        <v>17</v>
      </c>
      <c r="U18" s="108"/>
    </row>
    <row r="19" spans="1:21" x14ac:dyDescent="0.2">
      <c r="A19" s="109" t="str">
        <f>IF(ISBLANK(Sales[[#This Row],[Место]]),"",CONCATENATE("T-00"&amp;ROW()-1))</f>
        <v>T-0018</v>
      </c>
      <c r="B19" s="110">
        <v>8</v>
      </c>
      <c r="C19" s="111" t="s">
        <v>18</v>
      </c>
      <c r="D19" s="111" t="s">
        <v>27</v>
      </c>
      <c r="E19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19" s="110">
        <f>IFERROR(_xlfn.XLOOKUP(Sales[[#This Row],[Станция ДО]],Справочник_станций_и_сборов[Станция (остановка)],Справочник_станций_и_сборов[ID]),"")</f>
        <v>7</v>
      </c>
      <c r="G19" s="112" t="s">
        <v>11</v>
      </c>
      <c r="H19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19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3204.5</v>
      </c>
      <c r="J19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19" s="114">
        <f>IFERROR(Sales[[#This Row],[Базовая цена, руб]] * VALUE(_xlfn.XLOOKUP(Sales[[#This Row],[Тип полки]], Тариф_полок[Тип полки], Тариф_полок[Коэф-нт цены], 1)),"")</f>
        <v>320.45000000000005</v>
      </c>
      <c r="L19" s="114">
        <f>IFERROR((Sales[[#This Row],[Базовая цена, руб]]-Sales[[#This Row],[Сумма скидки льготникам, руб]])-Sales[[#This Row],[Сумма скидки тип-места, руб2]],"")</f>
        <v>2884.05</v>
      </c>
      <c r="N19" s="115" t="str">
        <f t="shared" ca="1" si="0"/>
        <v>Свободно</v>
      </c>
      <c r="O19" s="116" t="str">
        <f t="shared" ca="1" si="1"/>
        <v>Верхнее место</v>
      </c>
      <c r="P19" s="127">
        <f ca="1"/>
        <v>34</v>
      </c>
      <c r="Q19" s="149" t="str">
        <f ca="1">IFERROR(VLOOKUP(P19,Аналитика!A20:AH73,34,0),"")</f>
        <v>Частично</v>
      </c>
      <c r="R19" s="148"/>
      <c r="S19" s="128" t="s">
        <v>36</v>
      </c>
      <c r="T19" s="146">
        <f>VALUE(_xlfn.XLOOKUP(S19,Справочник_станций_и_сборов[Станция (остановка)],Справочник_станций_и_сборов[ID]))</f>
        <v>18</v>
      </c>
      <c r="U19" s="108"/>
    </row>
    <row r="20" spans="1:21" x14ac:dyDescent="0.2">
      <c r="A20" s="109" t="str">
        <f>IF(ISBLANK(Sales[[#This Row],[Место]]),"",CONCATENATE("T-00"&amp;ROW()-1))</f>
        <v>T-0019</v>
      </c>
      <c r="B20" s="110">
        <v>9</v>
      </c>
      <c r="C20" s="111" t="s">
        <v>18</v>
      </c>
      <c r="D20" s="111" t="s">
        <v>25</v>
      </c>
      <c r="E20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20" s="110">
        <f>IFERROR(_xlfn.XLOOKUP(Sales[[#This Row],[Станция ДО]],Справочник_станций_и_сборов[Станция (остановка)],Справочник_станций_и_сборов[ID]),"")</f>
        <v>6</v>
      </c>
      <c r="G20" s="112" t="s">
        <v>11</v>
      </c>
      <c r="H20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20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2861.5</v>
      </c>
      <c r="J20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20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20" s="114">
        <f>IFERROR((Sales[[#This Row],[Базовая цена, руб]]-Sales[[#This Row],[Сумма скидки льготникам, руб]])-Sales[[#This Row],[Сумма скидки тип-места, руб2]],"")</f>
        <v>2861.5</v>
      </c>
      <c r="N20" s="115" t="str">
        <f t="shared" ca="1" si="0"/>
        <v>Свободно</v>
      </c>
      <c r="O20" s="116" t="str">
        <f t="shared" ca="1" si="1"/>
        <v>Нижнее место</v>
      </c>
      <c r="P20" s="127">
        <f ca="1"/>
        <v>35</v>
      </c>
      <c r="Q20" s="149" t="str">
        <f ca="1">IFERROR(VLOOKUP(P20,Аналитика!A21:AH74,34,0),"")</f>
        <v>Частично</v>
      </c>
      <c r="R20" s="148"/>
      <c r="S20" s="128" t="s">
        <v>2</v>
      </c>
      <c r="T20" s="146">
        <f>VALUE(_xlfn.XLOOKUP(S20,Справочник_станций_и_сборов[Станция (остановка)],Справочник_станций_и_сборов[ID]))</f>
        <v>19</v>
      </c>
      <c r="U20" s="108"/>
    </row>
    <row r="21" spans="1:21" x14ac:dyDescent="0.2">
      <c r="A21" s="109" t="str">
        <f>IF(ISBLANK(Sales[[#This Row],[Место]]),"",CONCATENATE("T-00"&amp;ROW()-1))</f>
        <v>T-0020</v>
      </c>
      <c r="B21" s="110">
        <v>10</v>
      </c>
      <c r="C21" s="111" t="s">
        <v>18</v>
      </c>
      <c r="D21" s="111" t="s">
        <v>45</v>
      </c>
      <c r="E21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21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21" s="112" t="s">
        <v>11</v>
      </c>
      <c r="H21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21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5105</v>
      </c>
      <c r="J21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21" s="114">
        <f>IFERROR(Sales[[#This Row],[Базовая цена, руб]] * VALUE(_xlfn.XLOOKUP(Sales[[#This Row],[Тип полки]], Тариф_полок[Тип полки], Тариф_полок[Коэф-нт цены], 1)),"")</f>
        <v>510.5</v>
      </c>
      <c r="L21" s="114">
        <f>IFERROR((Sales[[#This Row],[Базовая цена, руб]]-Sales[[#This Row],[Сумма скидки льготникам, руб]])-Sales[[#This Row],[Сумма скидки тип-места, руб2]],"")</f>
        <v>4594.5</v>
      </c>
      <c r="N21" s="115" t="str">
        <f t="shared" ca="1" si="0"/>
        <v>Свободно</v>
      </c>
      <c r="O21" s="116" t="str">
        <f t="shared" ca="1" si="1"/>
        <v>Верхнее место</v>
      </c>
      <c r="P21" s="127">
        <f ca="1"/>
        <v>36</v>
      </c>
      <c r="Q21" s="149" t="str">
        <f ca="1">IFERROR(VLOOKUP(P21,Аналитика!A22:AH75,34,0),"")</f>
        <v>Частично</v>
      </c>
      <c r="R21" s="148"/>
      <c r="S21" s="128" t="s">
        <v>38</v>
      </c>
      <c r="T21" s="146">
        <f>VALUE(_xlfn.XLOOKUP(S21,Справочник_станций_и_сборов[Станция (остановка)],Справочник_станций_и_сборов[ID]))</f>
        <v>20</v>
      </c>
      <c r="U21" s="108"/>
    </row>
    <row r="22" spans="1:21" x14ac:dyDescent="0.2">
      <c r="A22" s="109" t="str">
        <f>IF(ISBLANK(Sales[[#This Row],[Место]]),"",CONCATENATE("T-00"&amp;ROW()-1))</f>
        <v>T-0021</v>
      </c>
      <c r="B22" s="110">
        <v>6</v>
      </c>
      <c r="C22" s="111" t="s">
        <v>25</v>
      </c>
      <c r="D22" s="111" t="s">
        <v>36</v>
      </c>
      <c r="E22" s="110">
        <f>IFERROR(_xlfn.XLOOKUP(Sales[[#This Row],[Станция ОТ]],Справочник_станций_и_сборов[Станция (остановка)],Справочник_станций_и_сборов[ID]),"")</f>
        <v>6</v>
      </c>
      <c r="F22" s="110">
        <f>IFERROR(_xlfn.XLOOKUP(Sales[[#This Row],[Станция ДО]],Справочник_станций_и_сборов[Станция (остановка)],Справочник_станций_и_сборов[ID]),"")</f>
        <v>18</v>
      </c>
      <c r="G22" s="112" t="s">
        <v>11</v>
      </c>
      <c r="H22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22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2385.5</v>
      </c>
      <c r="J22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22" s="114">
        <f>IFERROR(Sales[[#This Row],[Базовая цена, руб]] * VALUE(_xlfn.XLOOKUP(Sales[[#This Row],[Тип полки]], Тариф_полок[Тип полки], Тариф_полок[Коэф-нт цены], 1)),"")</f>
        <v>238.55</v>
      </c>
      <c r="L22" s="114">
        <f>IFERROR((Sales[[#This Row],[Базовая цена, руб]]-Sales[[#This Row],[Сумма скидки льготникам, руб]])-Sales[[#This Row],[Сумма скидки тип-места, руб2]],"")</f>
        <v>2146.9499999999998</v>
      </c>
      <c r="N22" s="115" t="str">
        <f t="shared" ca="1" si="0"/>
        <v>Свободно</v>
      </c>
      <c r="O22" s="116" t="str">
        <f t="shared" ca="1" si="1"/>
        <v>Нижнее боковое место</v>
      </c>
      <c r="P22" s="127">
        <f ca="1"/>
        <v>37</v>
      </c>
      <c r="Q22" s="149" t="str">
        <f ca="1">IFERROR(VLOOKUP(P22,Аналитика!A23:AH76,34,0),"")</f>
        <v>Частично</v>
      </c>
      <c r="R22" s="148"/>
      <c r="S22" s="128" t="s">
        <v>39</v>
      </c>
      <c r="T22" s="146">
        <f>VALUE(_xlfn.XLOOKUP(S22,Справочник_станций_и_сборов[Станция (остановка)],Справочник_станций_и_сборов[ID]))</f>
        <v>21</v>
      </c>
      <c r="U22" s="108"/>
    </row>
    <row r="23" spans="1:21" x14ac:dyDescent="0.2">
      <c r="A23" s="109" t="str">
        <f>IF(ISBLANK(Sales[[#This Row],[Место]]),"",CONCATENATE("T-00"&amp;ROW()-1))</f>
        <v>T-0022</v>
      </c>
      <c r="B23" s="110">
        <v>11</v>
      </c>
      <c r="C23" s="111" t="s">
        <v>18</v>
      </c>
      <c r="D23" s="111" t="s">
        <v>45</v>
      </c>
      <c r="E23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23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23" s="112" t="s">
        <v>108</v>
      </c>
      <c r="H23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23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5105</v>
      </c>
      <c r="J23" s="114">
        <f>IFERROR(Sales[[#This Row],[Базовая цена, руб]] * _xlfn.XLOOKUP(Sales[[#This Row],[Тип пассажира]],Тип_пассажира[Наименование],Тип_пассажира[Цена]), "")</f>
        <v>1786.75</v>
      </c>
      <c r="K23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23" s="114">
        <f>IFERROR((Sales[[#This Row],[Базовая цена, руб]]-Sales[[#This Row],[Сумма скидки льготникам, руб]])-Sales[[#This Row],[Сумма скидки тип-места, руб2]],"")</f>
        <v>3318.25</v>
      </c>
      <c r="N23" s="115" t="str">
        <f t="shared" ca="1" si="0"/>
        <v>Свободно</v>
      </c>
      <c r="O23" s="116" t="str">
        <f t="shared" ca="1" si="1"/>
        <v>Верхнее боковое место</v>
      </c>
      <c r="P23" s="127">
        <f ca="1"/>
        <v>38</v>
      </c>
      <c r="Q23" s="149" t="str">
        <f ca="1">IFERROR(VLOOKUP(P23,Аналитика!A24:AH77,34,0),"")</f>
        <v>Частично</v>
      </c>
      <c r="R23" s="148"/>
      <c r="S23" s="128" t="s">
        <v>3</v>
      </c>
      <c r="T23" s="146">
        <f>VALUE(_xlfn.XLOOKUP(S23,Справочник_станций_и_сборов[Станция (остановка)],Справочник_станций_и_сборов[ID]))</f>
        <v>22</v>
      </c>
      <c r="U23" s="108"/>
    </row>
    <row r="24" spans="1:21" x14ac:dyDescent="0.2">
      <c r="A24" s="109" t="str">
        <f>IF(ISBLANK(Sales[[#This Row],[Место]]),"",CONCATENATE("T-00"&amp;ROW()-1))</f>
        <v>T-0023</v>
      </c>
      <c r="B24" s="110">
        <v>12</v>
      </c>
      <c r="C24" s="111" t="s">
        <v>18</v>
      </c>
      <c r="D24" s="111" t="s">
        <v>45</v>
      </c>
      <c r="E24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24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24" s="112" t="s">
        <v>112</v>
      </c>
      <c r="H24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24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5105</v>
      </c>
      <c r="J24" s="114">
        <f>IFERROR(Sales[[#This Row],[Базовая цена, руб]] * _xlfn.XLOOKUP(Sales[[#This Row],[Тип пассажира]],Тип_пассажира[Наименование],Тип_пассажира[Цена]), "")</f>
        <v>2552.5</v>
      </c>
      <c r="K24" s="114">
        <f>IFERROR(Sales[[#This Row],[Базовая цена, руб]] * VALUE(_xlfn.XLOOKUP(Sales[[#This Row],[Тип полки]], Тариф_полок[Тип полки], Тариф_полок[Коэф-нт цены], 1)),"")</f>
        <v>510.5</v>
      </c>
      <c r="L24" s="114">
        <f>IFERROR((Sales[[#This Row],[Базовая цена, руб]]-Sales[[#This Row],[Сумма скидки льготникам, руб]])-Sales[[#This Row],[Сумма скидки тип-места, руб2]],"")</f>
        <v>2042</v>
      </c>
      <c r="N24" s="115" t="str">
        <f t="shared" ca="1" si="0"/>
        <v>Свободно</v>
      </c>
      <c r="O24" s="116" t="str">
        <f t="shared" ca="1" si="1"/>
        <v>Верхнее боковое место</v>
      </c>
      <c r="P24" s="127">
        <f ca="1"/>
        <v>40</v>
      </c>
      <c r="Q24" s="149" t="str">
        <f ca="1">IFERROR(VLOOKUP(P24,Аналитика!A25:AH78,34,0),"")</f>
        <v>Частично</v>
      </c>
      <c r="R24" s="148"/>
      <c r="S24" s="128" t="s">
        <v>40</v>
      </c>
      <c r="T24" s="146">
        <f>VALUE(_xlfn.XLOOKUP(S24,Справочник_станций_и_сборов[Станция (остановка)],Справочник_станций_и_сборов[ID]))</f>
        <v>23</v>
      </c>
      <c r="U24" s="108"/>
    </row>
    <row r="25" spans="1:21" x14ac:dyDescent="0.2">
      <c r="A25" s="109" t="str">
        <f>IF(ISBLANK(Sales[[#This Row],[Место]]),"",CONCATENATE("T-00"&amp;ROW()-1))</f>
        <v>T-0024</v>
      </c>
      <c r="B25" s="110">
        <v>0</v>
      </c>
      <c r="C25" s="111" t="s">
        <v>18</v>
      </c>
      <c r="D25" s="111" t="s">
        <v>45</v>
      </c>
      <c r="E25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25" s="110">
        <f>IFERROR(_xlfn.XLOOKUP(Sales[[#This Row],[Станция ДО]],Справочник_станций_и_сборов[Станция (остановка)],Справочник_станций_и_сборов[ID]),"")</f>
        <v>30</v>
      </c>
      <c r="G25" s="112" t="s">
        <v>111</v>
      </c>
      <c r="H25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25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5105</v>
      </c>
      <c r="J25" s="114">
        <f>IFERROR(Sales[[#This Row],[Базовая цена, руб]] * _xlfn.XLOOKUP(Sales[[#This Row],[Тип пассажира]],Тип_пассажира[Наименование],Тип_пассажира[Цена]), "")</f>
        <v>5105</v>
      </c>
      <c r="K25" s="114">
        <f>IFERROR(Sales[[#This Row],[Базовая цена, руб]] * VALUE(_xlfn.XLOOKUP(Sales[[#This Row],[Тип полки]], Тариф_полок[Тип полки], Тариф_полок[Коэф-нт цены], 1)),"")</f>
        <v>510.5</v>
      </c>
      <c r="L25" s="114">
        <f>IFERROR((Sales[[#This Row],[Базовая цена, руб]]-Sales[[#This Row],[Сумма скидки льготникам, руб]])-Sales[[#This Row],[Сумма скидки тип-места, руб2]],"")</f>
        <v>-510.5</v>
      </c>
      <c r="N25" s="115" t="str">
        <f t="shared" ca="1" si="0"/>
        <v>Свободно</v>
      </c>
      <c r="O25" s="116" t="str">
        <f t="shared" ca="1" si="1"/>
        <v>Нижнее боковое место</v>
      </c>
      <c r="P25" s="127">
        <f ca="1"/>
        <v>41</v>
      </c>
      <c r="Q25" s="149" t="str">
        <f ca="1">IFERROR(VLOOKUP(P25,Аналитика!A26:AH79,34,0),"")</f>
        <v>Целое купе/отсек</v>
      </c>
      <c r="R25" s="148"/>
      <c r="S25" s="128" t="s">
        <v>4</v>
      </c>
      <c r="T25" s="146">
        <f>VALUE(_xlfn.XLOOKUP(S25,Справочник_станций_и_сборов[Станция (остановка)],Справочник_станций_и_сборов[ID]))</f>
        <v>24</v>
      </c>
      <c r="U25" s="108"/>
    </row>
    <row r="26" spans="1:21" x14ac:dyDescent="0.2">
      <c r="A26" s="109" t="str">
        <f>IF(ISBLANK(Sales[[#This Row],[Место]]),"",CONCATENATE("T-00"&amp;ROW()-1))</f>
        <v>T-0025</v>
      </c>
      <c r="B26" s="110">
        <v>3</v>
      </c>
      <c r="C26" s="111" t="s">
        <v>27</v>
      </c>
      <c r="D26" s="111" t="s">
        <v>0</v>
      </c>
      <c r="E26" s="110">
        <f>IFERROR(_xlfn.XLOOKUP(Sales[[#This Row],[Станция ОТ]],Справочник_станций_и_сборов[Станция (остановка)],Справочник_станций_и_сборов[ID]),"")</f>
        <v>7</v>
      </c>
      <c r="F26" s="110">
        <f>IFERROR(_xlfn.XLOOKUP(Sales[[#This Row],[Станция ДО]],Справочник_станций_и_сборов[Станция (остановка)],Справочник_станций_и_сборов[ID]),"")</f>
        <v>12</v>
      </c>
      <c r="G26" s="112" t="s">
        <v>11</v>
      </c>
      <c r="H26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26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1276</v>
      </c>
      <c r="J26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26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26" s="114">
        <f>IFERROR((Sales[[#This Row],[Базовая цена, руб]]-Sales[[#This Row],[Сумма скидки льготникам, руб]])-Sales[[#This Row],[Сумма скидки тип-места, руб2]],"")</f>
        <v>1276</v>
      </c>
      <c r="N26" s="115" t="str">
        <f t="shared" ca="1" si="0"/>
        <v>Свободно</v>
      </c>
      <c r="O26" s="116" t="str">
        <f t="shared" ca="1" si="1"/>
        <v>Верхнее боковое место</v>
      </c>
      <c r="P26" s="127">
        <f ca="1"/>
        <v>42</v>
      </c>
      <c r="Q26" s="149" t="str">
        <f ca="1">IFERROR(VLOOKUP(P26,Аналитика!A27:AH80,34,0),"")</f>
        <v>Целое купе/отсек</v>
      </c>
      <c r="R26" s="148"/>
      <c r="S26" s="128" t="s">
        <v>41</v>
      </c>
      <c r="T26" s="146">
        <f>VALUE(_xlfn.XLOOKUP(S26,Справочник_станций_и_сборов[Станция (остановка)],Справочник_станций_и_сборов[ID]))</f>
        <v>25</v>
      </c>
      <c r="U26" s="108"/>
    </row>
    <row r="27" spans="1:21" x14ac:dyDescent="0.2">
      <c r="A27" s="109" t="str">
        <f>IF(ISBLANK(Sales[[#This Row],[Место]]),"",CONCATENATE("T-00"&amp;ROW()-1))</f>
        <v>T-0026</v>
      </c>
      <c r="B27" s="110">
        <v>13</v>
      </c>
      <c r="C27" s="111" t="s">
        <v>24</v>
      </c>
      <c r="D27" s="111" t="s">
        <v>5</v>
      </c>
      <c r="E27" s="110">
        <f>IFERROR(_xlfn.XLOOKUP(Sales[[#This Row],[Станция ОТ]],Справочник_станций_и_сборов[Станция (остановка)],Справочник_станций_и_сборов[ID]),"")</f>
        <v>5</v>
      </c>
      <c r="F27" s="110">
        <f>IFERROR(_xlfn.XLOOKUP(Sales[[#This Row],[Станция ДО]],Справочник_станций_и_сборов[Станция (остановка)],Справочник_станций_и_сборов[ID]),"")</f>
        <v>28</v>
      </c>
      <c r="G27" s="112" t="s">
        <v>11</v>
      </c>
      <c r="H27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Нижнее место</v>
      </c>
      <c r="I27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3334</v>
      </c>
      <c r="J27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27" s="114">
        <f>IFERROR(Sales[[#This Row],[Базовая цена, руб]] * VALUE(_xlfn.XLOOKUP(Sales[[#This Row],[Тип полки]], Тариф_полок[Тип полки], Тариф_полок[Коэф-нт цены], 1)),"")</f>
        <v>0</v>
      </c>
      <c r="L27" s="114">
        <f>IFERROR((Sales[[#This Row],[Базовая цена, руб]]-Sales[[#This Row],[Сумма скидки льготникам, руб]])-Sales[[#This Row],[Сумма скидки тип-места, руб2]],"")</f>
        <v>3334</v>
      </c>
      <c r="N27" s="115" t="str">
        <f t="shared" ca="1" si="0"/>
        <v>Свободно</v>
      </c>
      <c r="O27" s="116" t="str">
        <f t="shared" ca="1" si="1"/>
        <v>Нижнее боковое место</v>
      </c>
      <c r="P27" s="127">
        <f ca="1"/>
        <v>43</v>
      </c>
      <c r="Q27" s="149" t="str">
        <f ca="1">IFERROR(VLOOKUP(P27,Аналитика!A28:AH81,34,0),"")</f>
        <v>Целое купе/отсек</v>
      </c>
      <c r="R27" s="148"/>
      <c r="S27" s="128" t="s">
        <v>42</v>
      </c>
      <c r="T27" s="146">
        <f>VALUE(_xlfn.XLOOKUP(S27,Справочник_станций_и_сборов[Станция (остановка)],Справочник_станций_и_сборов[ID]))</f>
        <v>26</v>
      </c>
      <c r="U27" s="108"/>
    </row>
    <row r="28" spans="1:21" x14ac:dyDescent="0.2">
      <c r="A28" s="109" t="str">
        <f>IF(ISBLANK(Sales[[#This Row],[Место]]),"",CONCATENATE("T-00"&amp;ROW()-1))</f>
        <v>T-0027</v>
      </c>
      <c r="B28" s="110">
        <v>14</v>
      </c>
      <c r="C28" s="111" t="s">
        <v>18</v>
      </c>
      <c r="D28" s="111" t="s">
        <v>34</v>
      </c>
      <c r="E28" s="110">
        <f>IFERROR(_xlfn.XLOOKUP(Sales[[#This Row],[Станция ОТ]],Справочник_станций_и_сборов[Станция (остановка)],Справочник_станций_и_сборов[ID]),"")</f>
        <v>1</v>
      </c>
      <c r="F28" s="110">
        <f>IFERROR(_xlfn.XLOOKUP(Sales[[#This Row],[Станция ДО]],Справочник_станций_и_сборов[Станция (остановка)],Справочник_станций_и_сборов[ID]),"")</f>
        <v>15</v>
      </c>
      <c r="G28" s="112" t="s">
        <v>11</v>
      </c>
      <c r="H28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>Верхнее место</v>
      </c>
      <c r="I28" s="114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>4055</v>
      </c>
      <c r="J28" s="114">
        <f>IFERROR(Sales[[#This Row],[Базовая цена, руб]] * _xlfn.XLOOKUP(Sales[[#This Row],[Тип пассажира]],Тип_пассажира[Наименование],Тип_пассажира[Цена]), "")</f>
        <v>0</v>
      </c>
      <c r="K28" s="114">
        <f>IFERROR(Sales[[#This Row],[Базовая цена, руб]] * VALUE(_xlfn.XLOOKUP(Sales[[#This Row],[Тип полки]], Тариф_полок[Тип полки], Тариф_полок[Коэф-нт цены], 1)),"")</f>
        <v>405.5</v>
      </c>
      <c r="L28" s="114">
        <f>IFERROR((Sales[[#This Row],[Базовая цена, руб]]-Sales[[#This Row],[Сумма скидки льготникам, руб]])-Sales[[#This Row],[Сумма скидки тип-места, руб2]],"")</f>
        <v>3649.5</v>
      </c>
      <c r="N28" s="115" t="str">
        <f t="shared" ca="1" si="0"/>
        <v>Свободно</v>
      </c>
      <c r="O28" s="116" t="str">
        <f t="shared" ca="1" si="1"/>
        <v>Верхнее боковое место</v>
      </c>
      <c r="P28" s="127">
        <f ca="1"/>
        <v>44</v>
      </c>
      <c r="Q28" s="149" t="str">
        <f ca="1">IFERROR(VLOOKUP(P28,Аналитика!A29:AH82,34,0),"")</f>
        <v>Целое купе/отсек</v>
      </c>
      <c r="R28" s="148"/>
      <c r="S28" s="128" t="s">
        <v>43</v>
      </c>
      <c r="T28" s="146">
        <f>VALUE(_xlfn.XLOOKUP(S28,Справочник_станций_и_сборов[Станция (остановка)],Справочник_станций_и_сборов[ID]))</f>
        <v>27</v>
      </c>
      <c r="U28" s="108"/>
    </row>
    <row r="29" spans="1:21" x14ac:dyDescent="0.2">
      <c r="A29" s="109" t="str">
        <f>IF(ISBLANK(Sales[[#This Row],[Место]]),"",CONCATENATE("T-00"&amp;ROW()-1))</f>
        <v/>
      </c>
      <c r="B29" s="110"/>
      <c r="C29" s="111"/>
      <c r="D29" s="111"/>
      <c r="E29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29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29" s="112"/>
      <c r="H29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29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29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29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29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29" s="115" t="str">
        <f t="shared" ca="1" si="0"/>
        <v>Свободно</v>
      </c>
      <c r="O29" s="116" t="str">
        <f t="shared" ca="1" si="1"/>
        <v>Нижнее боковое место</v>
      </c>
      <c r="P29" s="127">
        <f ca="1"/>
        <v>45</v>
      </c>
      <c r="Q29" s="149" t="str">
        <f ca="1">IFERROR(VLOOKUP(P29,Аналитика!A30:AH83,34,0),"")</f>
        <v>Частично</v>
      </c>
      <c r="R29" s="148"/>
      <c r="S29" s="128" t="s">
        <v>5</v>
      </c>
      <c r="T29" s="146">
        <f>VALUE(_xlfn.XLOOKUP(S29,Справочник_станций_и_сборов[Станция (остановка)],Справочник_станций_и_сборов[ID]))</f>
        <v>28</v>
      </c>
      <c r="U29" s="108"/>
    </row>
    <row r="30" spans="1:21" x14ac:dyDescent="0.2">
      <c r="A30" s="109" t="str">
        <f>IF(ISBLANK(Sales[[#This Row],[Место]]),"",CONCATENATE("T-00"&amp;ROW()-1))</f>
        <v/>
      </c>
      <c r="B30" s="110"/>
      <c r="C30" s="111"/>
      <c r="D30" s="111"/>
      <c r="E30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0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0" s="120"/>
      <c r="H30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0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0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0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0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0" s="115" t="str">
        <f t="shared" ca="1" si="0"/>
        <v>Свободно</v>
      </c>
      <c r="O30" s="116" t="str">
        <f t="shared" ca="1" si="1"/>
        <v>Верхнее боковое место</v>
      </c>
      <c r="P30" s="127">
        <f ca="1"/>
        <v>46</v>
      </c>
      <c r="Q30" s="149" t="str">
        <f ca="1">IFERROR(VLOOKUP(P30,Аналитика!A31:AH84,34,0),"")</f>
        <v>Частично</v>
      </c>
      <c r="R30" s="148"/>
      <c r="S30" s="128" t="s">
        <v>44</v>
      </c>
      <c r="T30" s="146">
        <f>VALUE(_xlfn.XLOOKUP(S30,Справочник_станций_и_сборов[Станция (остановка)],Справочник_станций_и_сборов[ID]))</f>
        <v>29</v>
      </c>
      <c r="U30" s="108"/>
    </row>
    <row r="31" spans="1:21" ht="13.5" thickBot="1" x14ac:dyDescent="0.25">
      <c r="A31" s="109" t="str">
        <f>IF(ISBLANK(Sales[[#This Row],[Место]]),"",CONCATENATE("T-00"&amp;ROW()-1))</f>
        <v/>
      </c>
      <c r="B31" s="110"/>
      <c r="C31" s="111"/>
      <c r="D31" s="111"/>
      <c r="E31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1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1" s="120"/>
      <c r="H31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1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1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1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1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1" s="115" t="str">
        <f t="shared" ca="1" si="0"/>
        <v>Свободно</v>
      </c>
      <c r="O31" s="116" t="str">
        <f t="shared" ca="1" si="1"/>
        <v>Нижнее боковое место</v>
      </c>
      <c r="P31" s="127">
        <f ca="1"/>
        <v>47</v>
      </c>
      <c r="Q31" s="149" t="str">
        <f ca="1">IFERROR(VLOOKUP(P31,Аналитика!A32:AH85,34,0),"")</f>
        <v>Частично</v>
      </c>
      <c r="R31" s="148"/>
      <c r="S31" s="129" t="s">
        <v>45</v>
      </c>
      <c r="T31" s="147">
        <f>VALUE(_xlfn.XLOOKUP(S31,Справочник_станций_и_сборов[Станция (остановка)],Справочник_станций_и_сборов[ID]))</f>
        <v>30</v>
      </c>
      <c r="U31" s="108"/>
    </row>
    <row r="32" spans="1:21" x14ac:dyDescent="0.2">
      <c r="A32" s="109" t="str">
        <f>IF(ISBLANK(Sales[[#This Row],[Место]]),"",CONCATENATE("T-00"&amp;ROW()-1))</f>
        <v/>
      </c>
      <c r="B32" s="110"/>
      <c r="C32" s="111"/>
      <c r="D32" s="111"/>
      <c r="E32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2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2" s="120"/>
      <c r="H32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2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2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2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2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2" s="115" t="str">
        <f t="shared" ca="1" si="0"/>
        <v>Свободно</v>
      </c>
      <c r="O32" s="116" t="str">
        <f t="shared" ca="1" si="1"/>
        <v>Верхнее боковое место</v>
      </c>
      <c r="P32" s="127">
        <f ca="1"/>
        <v>48</v>
      </c>
      <c r="Q32" s="149" t="str">
        <f ca="1">IFERROR(VLOOKUP(P32,Аналитика!A33:AH86,34,0),"")</f>
        <v>Частично</v>
      </c>
      <c r="T32" s="118"/>
      <c r="U32" s="108"/>
    </row>
    <row r="33" spans="1:21" x14ac:dyDescent="0.2">
      <c r="A33" s="109" t="str">
        <f>IF(ISBLANK(Sales[[#This Row],[Место]]),"",CONCATENATE("T-00"&amp;ROW()-1))</f>
        <v/>
      </c>
      <c r="B33" s="110"/>
      <c r="C33" s="111"/>
      <c r="D33" s="111"/>
      <c r="E33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3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3" s="120"/>
      <c r="H33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3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3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3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3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3" s="115" t="str">
        <f t="shared" ca="1" si="0"/>
        <v>Свободно</v>
      </c>
      <c r="O33" s="116" t="str">
        <f t="shared" ca="1" si="1"/>
        <v>Нижнее боковое место</v>
      </c>
      <c r="P33" s="127">
        <f ca="1"/>
        <v>49</v>
      </c>
      <c r="Q33" s="149" t="str">
        <f ca="1">IFERROR(VLOOKUP(P33,Аналитика!A34:AH87,34,0),"")</f>
        <v>Частично</v>
      </c>
      <c r="T33" s="118"/>
      <c r="U33" s="108"/>
    </row>
    <row r="34" spans="1:21" x14ac:dyDescent="0.2">
      <c r="A34" s="109" t="str">
        <f>IF(ISBLANK(Sales[[#This Row],[Место]]),"",CONCATENATE("T-00"&amp;ROW()-1))</f>
        <v/>
      </c>
      <c r="B34" s="110"/>
      <c r="C34" s="111"/>
      <c r="D34" s="111"/>
      <c r="E34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4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4" s="120"/>
      <c r="H34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4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4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4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4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4" s="115" t="str">
        <f t="shared" ca="1" si="0"/>
        <v>Свободно</v>
      </c>
      <c r="O34" s="116" t="str">
        <f t="shared" ca="1" si="1"/>
        <v>Верхнее боковое место</v>
      </c>
      <c r="P34" s="127">
        <f ca="1"/>
        <v>50</v>
      </c>
      <c r="Q34" s="149" t="str">
        <f ca="1">IFERROR(VLOOKUP(P34,Аналитика!A35:AH88,34,0),"")</f>
        <v>Частично</v>
      </c>
      <c r="T34" s="118"/>
      <c r="U34" s="108"/>
    </row>
    <row r="35" spans="1:21" x14ac:dyDescent="0.2">
      <c r="A35" s="109" t="str">
        <f>IF(ISBLANK(Sales[[#This Row],[Место]]),"",CONCATENATE("T-00"&amp;ROW()-1))</f>
        <v/>
      </c>
      <c r="B35" s="110"/>
      <c r="C35" s="111"/>
      <c r="D35" s="111"/>
      <c r="E35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5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5" s="120"/>
      <c r="H35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5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5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5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5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5" s="115" t="str">
        <f t="shared" ca="1" si="0"/>
        <v>Свободно</v>
      </c>
      <c r="O35" s="116" t="str">
        <f t="shared" ca="1" si="1"/>
        <v>Нижнее боковое место</v>
      </c>
      <c r="P35" s="127">
        <f ca="1"/>
        <v>51</v>
      </c>
      <c r="Q35" s="149" t="str">
        <f ca="1">IFERROR(VLOOKUP(P35,Аналитика!A36:AH89,34,0),"")</f>
        <v>Частично</v>
      </c>
      <c r="T35" s="118"/>
      <c r="U35" s="108"/>
    </row>
    <row r="36" spans="1:21" x14ac:dyDescent="0.2">
      <c r="A36" s="109" t="str">
        <f>IF(ISBLANK(Sales[[#This Row],[Место]]),"",CONCATENATE("T-00"&amp;ROW()-1))</f>
        <v/>
      </c>
      <c r="B36" s="110"/>
      <c r="C36" s="111"/>
      <c r="D36" s="111"/>
      <c r="E36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6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6" s="120"/>
      <c r="H36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6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6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6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6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6" s="115" t="str">
        <f t="shared" ca="1" si="0"/>
        <v>Свободно</v>
      </c>
      <c r="O36" s="116" t="str">
        <f t="shared" ca="1" si="1"/>
        <v>Верхнее боковое место</v>
      </c>
      <c r="P36" s="127">
        <f ca="1"/>
        <v>52</v>
      </c>
      <c r="Q36" s="149" t="str">
        <f ca="1">IFERROR(VLOOKUP(P36,Аналитика!A37:AH90,34,0),"")</f>
        <v>Частично</v>
      </c>
      <c r="T36" s="118"/>
      <c r="U36" s="108"/>
    </row>
    <row r="37" spans="1:21" x14ac:dyDescent="0.2">
      <c r="A37" s="109" t="str">
        <f>IF(ISBLANK(Sales[[#This Row],[Место]]),"",CONCATENATE("T-00"&amp;ROW()-1))</f>
        <v/>
      </c>
      <c r="B37" s="110"/>
      <c r="C37" s="111"/>
      <c r="D37" s="111"/>
      <c r="E37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7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7" s="120"/>
      <c r="H37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7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7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7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7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7" s="115" t="str">
        <f t="shared" ca="1" si="0"/>
        <v>Свободно</v>
      </c>
      <c r="O37" s="116" t="str">
        <f t="shared" ca="1" si="1"/>
        <v>Нижнее боковое место</v>
      </c>
      <c r="P37" s="127">
        <f ca="1"/>
        <v>53</v>
      </c>
      <c r="Q37" s="149" t="str">
        <f ca="1">IFERROR(VLOOKUP(P37,Аналитика!A38:AH91,34,0),"")</f>
        <v>Частично</v>
      </c>
      <c r="T37" s="118"/>
      <c r="U37" s="108"/>
    </row>
    <row r="38" spans="1:21" x14ac:dyDescent="0.2">
      <c r="A38" s="109" t="str">
        <f>IF(ISBLANK(Sales[[#This Row],[Место]]),"",CONCATENATE("T-00"&amp;ROW()-1))</f>
        <v/>
      </c>
      <c r="B38" s="110"/>
      <c r="C38" s="111"/>
      <c r="D38" s="111"/>
      <c r="E38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8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8" s="120"/>
      <c r="H38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8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8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8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8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8" s="115" t="str">
        <f t="shared" ca="1" si="0"/>
        <v>Свободно</v>
      </c>
      <c r="O38" s="116" t="str">
        <f t="shared" ca="1" si="1"/>
        <v>Верхнее боковое место</v>
      </c>
      <c r="P38" s="127">
        <f ca="1"/>
        <v>54</v>
      </c>
      <c r="Q38" s="149" t="str">
        <f ca="1">IFERROR(VLOOKUP(P38,Аналитика!A39:AH92,34,0),"")</f>
        <v>Частично</v>
      </c>
      <c r="T38" s="118"/>
      <c r="U38" s="108"/>
    </row>
    <row r="39" spans="1:21" x14ac:dyDescent="0.2">
      <c r="A39" s="109" t="str">
        <f>IF(ISBLANK(Sales[[#This Row],[Место]]),"",CONCATENATE("T-00"&amp;ROW()-1))</f>
        <v/>
      </c>
      <c r="B39" s="110"/>
      <c r="C39" s="111"/>
      <c r="D39" s="111"/>
      <c r="E39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39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39" s="120"/>
      <c r="H39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39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39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39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39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39" s="115" t="str">
        <f t="shared" si="0"/>
        <v/>
      </c>
      <c r="O39" s="116" t="str">
        <f t="shared" si="1"/>
        <v/>
      </c>
      <c r="P39" s="117"/>
      <c r="Q39" s="149" t="str">
        <f>IFERROR(VLOOKUP(P39,Аналитика!A40:AH93,34,0),"")</f>
        <v/>
      </c>
      <c r="T39" s="118"/>
      <c r="U39" s="108"/>
    </row>
    <row r="40" spans="1:21" x14ac:dyDescent="0.2">
      <c r="A40" s="109" t="str">
        <f>IF(ISBLANK(Sales[[#This Row],[Место]]),"",CONCATENATE("T-00"&amp;ROW()-1))</f>
        <v/>
      </c>
      <c r="B40" s="110"/>
      <c r="C40" s="111"/>
      <c r="D40" s="111"/>
      <c r="E40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0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0" s="120"/>
      <c r="H40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0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0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0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0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40" s="115" t="str">
        <f t="shared" si="0"/>
        <v/>
      </c>
      <c r="O40" s="116" t="str">
        <f t="shared" si="1"/>
        <v/>
      </c>
      <c r="P40" s="117"/>
      <c r="Q40" s="149" t="str">
        <f>IFERROR(VLOOKUP(P40,Аналитика!A41:AH94,34,0),"")</f>
        <v/>
      </c>
      <c r="T40" s="118"/>
      <c r="U40" s="108"/>
    </row>
    <row r="41" spans="1:21" x14ac:dyDescent="0.2">
      <c r="A41" s="121" t="str">
        <f>IF(ISBLANK(Sales[[#This Row],[Место]]),"",CONCATENATE("T-00"&amp;ROW()-1))</f>
        <v/>
      </c>
      <c r="B41" s="119"/>
      <c r="C41" s="111"/>
      <c r="D41" s="111"/>
      <c r="E41" s="119" t="str">
        <f>IFERROR(_xlfn.XLOOKUP(Sales[[#This Row],[Станция ОТ]],Справочник_станций_и_сборов[Станция (остановка)],Справочник_станций_и_сборов[ID]),"")</f>
        <v/>
      </c>
      <c r="F41" s="119" t="str">
        <f>IFERROR(_xlfn.XLOOKUP(Sales[[#This Row],[Станция ДО]],Справочник_станций_и_сборов[Станция (остановка)],Справочник_станций_и_сборов[ID]),"")</f>
        <v/>
      </c>
      <c r="G41" s="122"/>
      <c r="H41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1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1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1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1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41" s="115" t="str">
        <f t="shared" si="0"/>
        <v/>
      </c>
      <c r="O41" s="116" t="str">
        <f t="shared" si="1"/>
        <v/>
      </c>
      <c r="P41" s="117"/>
      <c r="Q41" s="149" t="str">
        <f>IFERROR(VLOOKUP(P41,Аналитика!A42:AH95,34,0),"")</f>
        <v/>
      </c>
      <c r="T41" s="118"/>
      <c r="U41" s="108"/>
    </row>
    <row r="42" spans="1:21" x14ac:dyDescent="0.2">
      <c r="A42" s="109" t="str">
        <f>IF(ISBLANK(Sales[[#This Row],[Место]]),"",CONCATENATE("T-00"&amp;ROW()-1))</f>
        <v/>
      </c>
      <c r="B42" s="110"/>
      <c r="C42" s="111"/>
      <c r="D42" s="111"/>
      <c r="E42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2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2" s="120"/>
      <c r="H42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2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2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2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2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42" s="115" t="str">
        <f t="shared" si="0"/>
        <v/>
      </c>
      <c r="O42" s="116" t="str">
        <f t="shared" si="1"/>
        <v/>
      </c>
      <c r="P42" s="117"/>
      <c r="Q42" s="149" t="str">
        <f>IFERROR(VLOOKUP(P42,Аналитика!A43:AH96,34,0),"")</f>
        <v/>
      </c>
      <c r="T42" s="118"/>
      <c r="U42" s="108"/>
    </row>
    <row r="43" spans="1:21" x14ac:dyDescent="0.2">
      <c r="A43" s="109" t="str">
        <f>IF(ISBLANK(Sales[[#This Row],[Место]]),"",CONCATENATE("T-00"&amp;ROW()-1))</f>
        <v/>
      </c>
      <c r="B43" s="110"/>
      <c r="C43" s="111"/>
      <c r="D43" s="111"/>
      <c r="E43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3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3" s="120"/>
      <c r="H43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3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3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3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3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N43" s="115" t="str">
        <f t="shared" si="0"/>
        <v/>
      </c>
      <c r="O43" s="116" t="str">
        <f t="shared" si="1"/>
        <v/>
      </c>
      <c r="P43" s="117"/>
      <c r="Q43" s="149" t="str">
        <f>IFERROR(VLOOKUP(P43,Аналитика!A44:AH97,34,0),"")</f>
        <v/>
      </c>
      <c r="T43" s="118"/>
      <c r="U43" s="108"/>
    </row>
    <row r="44" spans="1:21" x14ac:dyDescent="0.2">
      <c r="A44" s="109" t="str">
        <f>IF(ISBLANK(Sales[[#This Row],[Место]]),"",CONCATENATE("T-00"&amp;ROW()-1))</f>
        <v/>
      </c>
      <c r="B44" s="110"/>
      <c r="C44" s="111"/>
      <c r="D44" s="111"/>
      <c r="E44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4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4" s="120"/>
      <c r="H44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4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4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4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4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44" s="118"/>
      <c r="U44" s="108"/>
    </row>
    <row r="45" spans="1:21" x14ac:dyDescent="0.2">
      <c r="A45" s="109" t="str">
        <f>IF(ISBLANK(Sales[[#This Row],[Место]]),"",CONCATENATE("T-00"&amp;ROW()-1))</f>
        <v/>
      </c>
      <c r="B45" s="110"/>
      <c r="C45" s="111"/>
      <c r="D45" s="111"/>
      <c r="E45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5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5" s="120"/>
      <c r="H45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5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5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5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5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45" s="118"/>
      <c r="U45" s="108"/>
    </row>
    <row r="46" spans="1:21" x14ac:dyDescent="0.2">
      <c r="A46" s="109" t="str">
        <f>IF(ISBLANK(Sales[[#This Row],[Место]]),"",CONCATENATE("T-00"&amp;ROW()-1))</f>
        <v/>
      </c>
      <c r="B46" s="110"/>
      <c r="C46" s="111"/>
      <c r="D46" s="111"/>
      <c r="E46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6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6" s="120"/>
      <c r="H46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6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6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6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6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46" s="118"/>
      <c r="U46" s="108"/>
    </row>
    <row r="47" spans="1:21" x14ac:dyDescent="0.2">
      <c r="A47" s="109" t="str">
        <f>IF(ISBLANK(Sales[[#This Row],[Место]]),"",CONCATENATE("T-00"&amp;ROW()-1))</f>
        <v/>
      </c>
      <c r="B47" s="110"/>
      <c r="C47" s="111"/>
      <c r="D47" s="111"/>
      <c r="E47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7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7" s="120"/>
      <c r="H47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7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7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7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7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47" s="118"/>
      <c r="U47" s="108"/>
    </row>
    <row r="48" spans="1:21" x14ac:dyDescent="0.2">
      <c r="A48" s="109" t="str">
        <f>IF(ISBLANK(Sales[[#This Row],[Место]]),"",CONCATENATE("T-00"&amp;ROW()-1))</f>
        <v/>
      </c>
      <c r="B48" s="110"/>
      <c r="C48" s="111"/>
      <c r="D48" s="111"/>
      <c r="E48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8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8" s="120"/>
      <c r="H48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8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8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8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8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48" s="118"/>
      <c r="U48" s="108"/>
    </row>
    <row r="49" spans="1:21" x14ac:dyDescent="0.2">
      <c r="A49" s="109" t="str">
        <f>IF(ISBLANK(Sales[[#This Row],[Место]]),"",CONCATENATE("T-00"&amp;ROW()-1))</f>
        <v/>
      </c>
      <c r="B49" s="110"/>
      <c r="C49" s="111"/>
      <c r="D49" s="111"/>
      <c r="E49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49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49" s="120"/>
      <c r="H49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49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49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49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49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49" s="118"/>
      <c r="U49" s="108"/>
    </row>
    <row r="50" spans="1:21" x14ac:dyDescent="0.2">
      <c r="A50" s="109" t="str">
        <f>IF(ISBLANK(Sales[[#This Row],[Место]]),"",CONCATENATE("T-00"&amp;ROW()-1))</f>
        <v/>
      </c>
      <c r="B50" s="110"/>
      <c r="C50" s="111"/>
      <c r="D50" s="111"/>
      <c r="E50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50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50" s="120"/>
      <c r="H50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0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0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0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0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50" s="118"/>
      <c r="U50" s="108"/>
    </row>
    <row r="51" spans="1:21" x14ac:dyDescent="0.2">
      <c r="A51" s="109" t="str">
        <f>IF(ISBLANK(Sales[[#This Row],[Место]]),"",CONCATENATE("T-00"&amp;ROW()-1))</f>
        <v/>
      </c>
      <c r="B51" s="110"/>
      <c r="C51" s="111"/>
      <c r="D51" s="111"/>
      <c r="E51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51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51" s="120"/>
      <c r="H51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1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1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1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1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51" s="118"/>
      <c r="U51" s="108"/>
    </row>
    <row r="52" spans="1:21" x14ac:dyDescent="0.2">
      <c r="A52" s="109" t="str">
        <f>IF(ISBLANK(Sales[[#This Row],[Место]]),"",CONCATENATE("T-00"&amp;ROW()-1))</f>
        <v/>
      </c>
      <c r="B52" s="110"/>
      <c r="C52" s="111"/>
      <c r="D52" s="111"/>
      <c r="E52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52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52" s="120"/>
      <c r="H52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2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2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2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2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52" s="118"/>
      <c r="U52" s="108"/>
    </row>
    <row r="53" spans="1:21" x14ac:dyDescent="0.2">
      <c r="A53" s="109" t="str">
        <f>IF(ISBLANK(Sales[[#This Row],[Место]]),"",CONCATENATE("T-00"&amp;ROW()-1))</f>
        <v/>
      </c>
      <c r="B53" s="110"/>
      <c r="C53" s="111"/>
      <c r="D53" s="111"/>
      <c r="E53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53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53" s="120"/>
      <c r="H53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3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3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3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3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53" s="118"/>
      <c r="U53" s="108"/>
    </row>
    <row r="54" spans="1:21" x14ac:dyDescent="0.2">
      <c r="A54" s="109" t="str">
        <f>IF(ISBLANK(Sales[[#This Row],[Место]]),"",CONCATENATE("T-00"&amp;ROW()-1))</f>
        <v/>
      </c>
      <c r="B54" s="110"/>
      <c r="C54" s="111"/>
      <c r="D54" s="111"/>
      <c r="E54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54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54" s="120"/>
      <c r="H54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4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4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4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4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T54" s="118"/>
      <c r="U54" s="108"/>
    </row>
    <row r="55" spans="1:21" x14ac:dyDescent="0.2">
      <c r="A55" s="109" t="str">
        <f>IF(ISBLANK(Sales[[#This Row],[Место]]),"",CONCATENATE("T-00"&amp;ROW()-1))</f>
        <v/>
      </c>
      <c r="B55" s="110"/>
      <c r="C55" s="111"/>
      <c r="D55" s="111"/>
      <c r="E55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55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55" s="120"/>
      <c r="H55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5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5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5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5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U55" s="108"/>
    </row>
    <row r="56" spans="1:21" x14ac:dyDescent="0.2">
      <c r="A56" s="109" t="str">
        <f>IF(ISBLANK(Sales[[#This Row],[Место]]),"",CONCATENATE("T-00"&amp;ROW()-1))</f>
        <v/>
      </c>
      <c r="B56" s="110"/>
      <c r="C56" s="111"/>
      <c r="D56" s="111"/>
      <c r="E56" s="110" t="str">
        <f>IFERROR(_xlfn.XLOOKUP(Sales[[#This Row],[Станция ОТ]],Справочник_станций_и_сборов[Станция (остановка)],Справочник_станций_и_сборов[ID]),"")</f>
        <v/>
      </c>
      <c r="F56" s="110" t="str">
        <f>IFERROR(_xlfn.XLOOKUP(Sales[[#This Row],[Станция ДО]],Справочник_станций_и_сборов[Станция (остановка)],Справочник_станций_и_сборов[ID]),"")</f>
        <v/>
      </c>
      <c r="G56" s="120"/>
      <c r="H56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6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6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6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6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U56" s="108"/>
    </row>
    <row r="57" spans="1:21" x14ac:dyDescent="0.2">
      <c r="A57" s="121" t="str">
        <f>IF(ISBLANK(Sales[[#This Row],[Место]]),"",CONCATENATE("T-00"&amp;ROW()-1))</f>
        <v/>
      </c>
      <c r="B57" s="119"/>
      <c r="C57" s="111"/>
      <c r="D57" s="111"/>
      <c r="E57" s="119" t="str">
        <f>IFERROR(_xlfn.XLOOKUP(Sales[[#This Row],[Станция ОТ]],Справочник_станций_и_сборов[Станция (остановка)],Справочник_станций_и_сборов[ID]),"")</f>
        <v/>
      </c>
      <c r="F57" s="119" t="str">
        <f>IFERROR(_xlfn.XLOOKUP(Sales[[#This Row],[Станция ДО]],Справочник_станций_и_сборов[Станция (остановка)],Справочник_станций_и_сборов[ID]),"")</f>
        <v/>
      </c>
      <c r="G57" s="122"/>
      <c r="H57" s="113" t="str">
        <f>IF(ISBLANK(Sales[[#This Row],[Место]]),"",IF(Sales[[#This Row],[Место]]&gt;36, IF(MOD(Sales[[#This Row],[Место]],2)=0, "Верхнее боковое место", "Нижнее боковое место"), IF(MOD(Sales[[#This Row],[Место]],2)=0, "Верхнее место", "Нижнее место")))</f>
        <v/>
      </c>
      <c r="I57" s="114" t="str">
        <f>IFERROR(((_xlfn.XLOOKUP(Sales[[#This Row],[Станция ДО]],Справочник_станций_и_сборов[Станция (остановка)],Справочник_станций_и_сборов[Расстояние от Мск (км)],)-_xlfn.XLOOKUP(Sales[[#This Row],[Станция ОТ]],Справочник_станций_и_сборов[Станция (остановка)],Справочник_станций_и_сборов[Расстояние от Мск (км)],))*Справочник!$Q$3+Справочник!$Q$2),"")</f>
        <v/>
      </c>
      <c r="J57" s="114" t="str">
        <f>IFERROR(Sales[[#This Row],[Базовая цена, руб]] * _xlfn.XLOOKUP(Sales[[#This Row],[Тип пассажира]],Тип_пассажира[Наименование],Тип_пассажира[Цена]), "")</f>
        <v/>
      </c>
      <c r="K57" s="114" t="str">
        <f>IFERROR(Sales[[#This Row],[Базовая цена, руб]] * VALUE(_xlfn.XLOOKUP(Sales[[#This Row],[Тип полки]], Тариф_полок[Тип полки], Тариф_полок[Коэф-нт цены], 1)),"")</f>
        <v/>
      </c>
      <c r="L57" s="114" t="str">
        <f>IFERROR((Sales[[#This Row],[Базовая цена, руб]]-Sales[[#This Row],[Сумма скидки льготникам, руб]])-Sales[[#This Row],[Сумма скидки тип-места, руб2]],"")</f>
        <v/>
      </c>
      <c r="U57" s="108"/>
    </row>
    <row r="58" spans="1:21" x14ac:dyDescent="0.2">
      <c r="A58" s="121" t="s">
        <v>7</v>
      </c>
      <c r="B58" s="123">
        <f>SUBTOTAL(103,Sales[Место])</f>
        <v>27</v>
      </c>
      <c r="C58" s="124"/>
      <c r="D58" s="124"/>
      <c r="E58" s="123"/>
      <c r="F58" s="123"/>
      <c r="G58" s="123"/>
      <c r="H58" s="123"/>
      <c r="I58" s="125"/>
      <c r="J58" s="125"/>
      <c r="K58" s="125"/>
      <c r="L58" s="126">
        <f>SUBTOTAL(109,Sales[Цена, ₽])</f>
        <v>68437.75</v>
      </c>
      <c r="U58" s="108"/>
    </row>
  </sheetData>
  <phoneticPr fontId="3" type="noConversion"/>
  <conditionalFormatting sqref="N2:O43">
    <cfRule type="containsText" dxfId="10" priority="4" operator="containsText" text="Свободно">
      <formula>NOT(ISERROR(SEARCH("Свободно",N2)))</formula>
    </cfRule>
  </conditionalFormatting>
  <conditionalFormatting sqref="Q2:Q43">
    <cfRule type="containsText" dxfId="9" priority="2" operator="containsText" text="Частично">
      <formula>NOT(ISERROR(SEARCH("Частично",Q2)))</formula>
    </cfRule>
    <cfRule type="containsText" dxfId="8" priority="3" operator="containsText" text="Целое">
      <formula>NOT(ISERROR(SEARCH("Целое",Q2)))</formula>
    </cfRule>
  </conditionalFormatting>
  <conditionalFormatting sqref="R2:R31">
    <cfRule type="duplicateValues" dxfId="7" priority="1"/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D7D480A-F284-4C9B-830A-CC2D24DDA254}">
          <x14:formula1>
            <xm:f>Справочник!$B$2:$B$31</xm:f>
          </x14:formula1>
          <xm:sqref>C2:D57</xm:sqref>
        </x14:dataValidation>
        <x14:dataValidation type="list" allowBlank="1" showInputMessage="1" showErrorMessage="1" xr:uid="{E2513741-BA15-4127-BB40-8C93782D94E2}">
          <x14:formula1>
            <xm:f>Справочник!$P$8:$P$12</xm:f>
          </x14:formula1>
          <xm:sqref>G2:G57</xm:sqref>
        </x14:dataValidation>
        <x14:dataValidation type="list" allowBlank="1" showInputMessage="1" showErrorMessage="1" xr:uid="{0E5D57B2-5FF8-4F3A-8E06-543934F10F8D}">
          <x14:formula1>
            <xm:f>Справочник!$L$8:$L$10</xm:f>
          </x14:formula1>
          <xm:sqref>R2:R31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8D8E-3923-4DA1-9CF1-A491BDB56AA2}">
  <sheetPr>
    <tabColor rgb="FF00B050"/>
  </sheetPr>
  <dimension ref="A1:BE57"/>
  <sheetViews>
    <sheetView zoomScale="85" zoomScaleNormal="85" workbookViewId="0">
      <selection activeCell="P59" sqref="P59"/>
    </sheetView>
  </sheetViews>
  <sheetFormatPr defaultRowHeight="15.75" x14ac:dyDescent="0.25"/>
  <cols>
    <col min="1" max="1" width="7" style="26" customWidth="1"/>
    <col min="2" max="30" width="12.7109375" style="26" customWidth="1"/>
    <col min="31" max="31" width="8" style="26" bestFit="1" customWidth="1"/>
    <col min="32" max="32" width="15.140625" style="26" customWidth="1"/>
    <col min="33" max="33" width="11.7109375" style="26" customWidth="1"/>
    <col min="34" max="34" width="21.42578125" style="26" customWidth="1"/>
    <col min="35" max="16384" width="9.140625" style="26"/>
  </cols>
  <sheetData>
    <row r="1" spans="1:57" ht="60" customHeight="1" thickBot="1" x14ac:dyDescent="0.3">
      <c r="B1" s="71" t="s">
        <v>18</v>
      </c>
      <c r="C1" s="71" t="s">
        <v>20</v>
      </c>
      <c r="D1" s="71" t="s">
        <v>21</v>
      </c>
      <c r="E1" s="71" t="s">
        <v>22</v>
      </c>
      <c r="F1" s="71" t="s">
        <v>24</v>
      </c>
      <c r="G1" s="71" t="s">
        <v>25</v>
      </c>
      <c r="H1" s="71" t="s">
        <v>27</v>
      </c>
      <c r="I1" s="71" t="s">
        <v>28</v>
      </c>
      <c r="J1" s="71" t="s">
        <v>29</v>
      </c>
      <c r="K1" s="71" t="s">
        <v>30</v>
      </c>
      <c r="L1" s="71" t="s">
        <v>31</v>
      </c>
      <c r="M1" s="71" t="s">
        <v>0</v>
      </c>
      <c r="N1" s="71" t="s">
        <v>32</v>
      </c>
      <c r="O1" s="71" t="s">
        <v>33</v>
      </c>
      <c r="P1" s="71" t="s">
        <v>34</v>
      </c>
      <c r="Q1" s="71" t="s">
        <v>1</v>
      </c>
      <c r="R1" s="71" t="s">
        <v>35</v>
      </c>
      <c r="S1" s="71" t="s">
        <v>36</v>
      </c>
      <c r="T1" s="71" t="s">
        <v>2</v>
      </c>
      <c r="U1" s="71" t="s">
        <v>38</v>
      </c>
      <c r="V1" s="71" t="s">
        <v>39</v>
      </c>
      <c r="W1" s="71" t="s">
        <v>3</v>
      </c>
      <c r="X1" s="71" t="s">
        <v>40</v>
      </c>
      <c r="Y1" s="71" t="s">
        <v>4</v>
      </c>
      <c r="Z1" s="71" t="s">
        <v>41</v>
      </c>
      <c r="AA1" s="71" t="s">
        <v>42</v>
      </c>
      <c r="AB1" s="71" t="s">
        <v>43</v>
      </c>
      <c r="AC1" s="71" t="s">
        <v>5</v>
      </c>
      <c r="AD1" s="71" t="s">
        <v>44</v>
      </c>
      <c r="AE1" s="71" t="s">
        <v>45</v>
      </c>
      <c r="AF1" s="83" t="s">
        <v>121</v>
      </c>
      <c r="AG1" s="84" t="str" cm="1">
        <f t="array" aca="1" ref="AG1" ca="1">_xlfn.TEXTJOIN(", ", TRUE, IF(AF3:AF56="Свободно", A2:A55, ""))</f>
        <v>14, 15, 16, 18, 19, 20, 21, 22, 23, 24, 25, 26, 27, 28, 29, 30, 31, 33, 34, 35, 36, 37, 39, 40, 41, 42, 43, 44, 45, 46, 47, 48, 49, 50, 51, 52, 53</v>
      </c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6"/>
      <c r="AX1" s="87"/>
      <c r="AY1" s="87"/>
      <c r="AZ1" s="87"/>
      <c r="BA1" s="87"/>
      <c r="BB1" s="87"/>
      <c r="BC1" s="87"/>
      <c r="BD1" s="87"/>
      <c r="BE1" s="87"/>
    </row>
    <row r="2" spans="1:57" ht="25.5" customHeight="1" x14ac:dyDescent="0.25">
      <c r="A2" s="32"/>
      <c r="B2" s="68">
        <v>1</v>
      </c>
      <c r="C2" s="68">
        <v>2</v>
      </c>
      <c r="D2" s="68">
        <v>3</v>
      </c>
      <c r="E2" s="68">
        <v>4</v>
      </c>
      <c r="F2" s="68">
        <v>5</v>
      </c>
      <c r="G2" s="68">
        <v>6</v>
      </c>
      <c r="H2" s="68">
        <v>7</v>
      </c>
      <c r="I2" s="68">
        <v>8</v>
      </c>
      <c r="J2" s="68">
        <v>9</v>
      </c>
      <c r="K2" s="68">
        <v>10</v>
      </c>
      <c r="L2" s="68">
        <v>11</v>
      </c>
      <c r="M2" s="68">
        <v>12</v>
      </c>
      <c r="N2" s="68">
        <v>13</v>
      </c>
      <c r="O2" s="68">
        <v>14</v>
      </c>
      <c r="P2" s="68">
        <v>15</v>
      </c>
      <c r="Q2" s="68">
        <v>16</v>
      </c>
      <c r="R2" s="68">
        <v>17</v>
      </c>
      <c r="S2" s="68">
        <v>18</v>
      </c>
      <c r="T2" s="68">
        <v>19</v>
      </c>
      <c r="U2" s="68">
        <v>20</v>
      </c>
      <c r="V2" s="68">
        <v>21</v>
      </c>
      <c r="W2" s="68">
        <v>22</v>
      </c>
      <c r="X2" s="68">
        <v>23</v>
      </c>
      <c r="Y2" s="68">
        <v>24</v>
      </c>
      <c r="Z2" s="68">
        <v>25</v>
      </c>
      <c r="AA2" s="68">
        <v>26</v>
      </c>
      <c r="AB2" s="68">
        <v>27</v>
      </c>
      <c r="AC2" s="68">
        <v>28</v>
      </c>
      <c r="AD2" s="68">
        <v>29</v>
      </c>
      <c r="AE2" s="82"/>
      <c r="AG2" s="83" t="s">
        <v>133</v>
      </c>
    </row>
    <row r="3" spans="1:57" x14ac:dyDescent="0.25">
      <c r="A3" s="68">
        <v>1</v>
      </c>
      <c r="B3" s="67">
        <f>COUNTIFS(Продажи!$B$2:$B$1002, $A3, Продажи!$E$2:$E$1002, "&lt;=" &amp; B$2, Продажи!$F$2:$F$1002, "&gt;" &amp; B$2)</f>
        <v>1</v>
      </c>
      <c r="C3" s="67">
        <f>COUNTIFS(Продажи!$B$2:$B$1002, $A3, Продажи!$E$2:$E$1002, "&lt;=" &amp; C$2, Продажи!$F$2:$F$1002, "&gt;" &amp; C$2)</f>
        <v>1</v>
      </c>
      <c r="D3" s="67">
        <f>COUNTIFS(Продажи!$B$2:$B$1002, $A3, Продажи!$E$2:$E$1002, "&lt;=" &amp; D$2, Продажи!$F$2:$F$1002, "&gt;" &amp; D$2)</f>
        <v>1</v>
      </c>
      <c r="E3" s="67">
        <f>COUNTIFS(Продажи!$B$2:$B$1002, $A3, Продажи!$E$2:$E$1002, "&lt;=" &amp; E$2, Продажи!$F$2:$F$1002, "&gt;" &amp; E$2)</f>
        <v>1</v>
      </c>
      <c r="F3" s="67">
        <f>COUNTIFS(Продажи!$B$2:$B$1002, $A3, Продажи!$E$2:$E$1002, "&lt;=" &amp; F$2, Продажи!$F$2:$F$1002, "&gt;" &amp; F$2)</f>
        <v>1</v>
      </c>
      <c r="G3" s="67">
        <f>COUNTIFS(Продажи!$B$2:$B$1002, $A3, Продажи!$E$2:$E$1002, "&lt;=" &amp; G$2, Продажи!$F$2:$F$1002, "&gt;" &amp; G$2)</f>
        <v>1</v>
      </c>
      <c r="H3" s="67">
        <f>COUNTIFS(Продажи!$B$2:$B$1002, $A3, Продажи!$E$2:$E$1002, "&lt;=" &amp; H$2, Продажи!$F$2:$F$1002, "&gt;" &amp; H$2)</f>
        <v>1</v>
      </c>
      <c r="I3" s="67">
        <f>COUNTIFS(Продажи!$B$2:$B$1002, $A3, Продажи!$E$2:$E$1002, "&lt;=" &amp; I$2, Продажи!$F$2:$F$1002, "&gt;" &amp; I$2)</f>
        <v>1</v>
      </c>
      <c r="J3" s="67">
        <f>COUNTIFS(Продажи!$B$2:$B$1002, $A3, Продажи!$E$2:$E$1002, "&lt;=" &amp; J$2, Продажи!$F$2:$F$1002, "&gt;" &amp; J$2)</f>
        <v>1</v>
      </c>
      <c r="K3" s="67">
        <f>COUNTIFS(Продажи!$B$2:$B$1002, $A3, Продажи!$E$2:$E$1002, "&lt;=" &amp; K$2, Продажи!$F$2:$F$1002, "&gt;" &amp; K$2)</f>
        <v>1</v>
      </c>
      <c r="L3" s="67">
        <f>COUNTIFS(Продажи!$B$2:$B$1002, $A3, Продажи!$E$2:$E$1002, "&lt;=" &amp; L$2, Продажи!$F$2:$F$1002, "&gt;" &amp; L$2)</f>
        <v>1</v>
      </c>
      <c r="M3" s="67">
        <f>COUNTIFS(Продажи!$B$2:$B$1002, $A3, Продажи!$E$2:$E$1002, "&lt;=" &amp; M$2, Продажи!$F$2:$F$1002, "&gt;" &amp; M$2)</f>
        <v>1</v>
      </c>
      <c r="N3" s="67">
        <f>COUNTIFS(Продажи!$B$2:$B$1002, $A3, Продажи!$E$2:$E$1002, "&lt;=" &amp; N$2, Продажи!$F$2:$F$1002, "&gt;" &amp; N$2)</f>
        <v>1</v>
      </c>
      <c r="O3" s="67">
        <f>COUNTIFS(Продажи!$B$2:$B$1002, $A3, Продажи!$E$2:$E$1002, "&lt;=" &amp; O$2, Продажи!$F$2:$F$1002, "&gt;" &amp; O$2)</f>
        <v>1</v>
      </c>
      <c r="P3" s="67">
        <f>COUNTIFS(Продажи!$B$2:$B$1002, $A3, Продажи!$E$2:$E$1002, "&lt;=" &amp; P$2, Продажи!$F$2:$F$1002, "&gt;" &amp; P$2)</f>
        <v>1</v>
      </c>
      <c r="Q3" s="67">
        <f>COUNTIFS(Продажи!$B$2:$B$1002, $A3, Продажи!$E$2:$E$1002, "&lt;=" &amp; Q$2, Продажи!$F$2:$F$1002, "&gt;" &amp; Q$2)</f>
        <v>1</v>
      </c>
      <c r="R3" s="67">
        <f>COUNTIFS(Продажи!$B$2:$B$1002, $A3, Продажи!$E$2:$E$1002, "&lt;=" &amp; R$2, Продажи!$F$2:$F$1002, "&gt;" &amp; R$2)</f>
        <v>1</v>
      </c>
      <c r="S3" s="67">
        <f>COUNTIFS(Продажи!$B$2:$B$1002, $A3, Продажи!$E$2:$E$1002, "&lt;=" &amp; S$2, Продажи!$F$2:$F$1002, "&gt;" &amp; S$2)</f>
        <v>1</v>
      </c>
      <c r="T3" s="67">
        <f>COUNTIFS(Продажи!$B$2:$B$1002, $A3, Продажи!$E$2:$E$1002, "&lt;=" &amp; T$2, Продажи!$F$2:$F$1002, "&gt;" &amp; T$2)</f>
        <v>1</v>
      </c>
      <c r="U3" s="67">
        <f>COUNTIFS(Продажи!$B$2:$B$1002, $A3, Продажи!$E$2:$E$1002, "&lt;=" &amp; U$2, Продажи!$F$2:$F$1002, "&gt;" &amp; U$2)</f>
        <v>1</v>
      </c>
      <c r="V3" s="67">
        <f>COUNTIFS(Продажи!$B$2:$B$1002, $A3, Продажи!$E$2:$E$1002, "&lt;=" &amp; V$2, Продажи!$F$2:$F$1002, "&gt;" &amp; V$2)</f>
        <v>1</v>
      </c>
      <c r="W3" s="67">
        <f>COUNTIFS(Продажи!$B$2:$B$1002, $A3, Продажи!$E$2:$E$1002, "&lt;=" &amp; W$2, Продажи!$F$2:$F$1002, "&gt;" &amp; W$2)</f>
        <v>1</v>
      </c>
      <c r="X3" s="67">
        <f>COUNTIFS(Продажи!$B$2:$B$1002, $A3, Продажи!$E$2:$E$1002, "&lt;=" &amp; X$2, Продажи!$F$2:$F$1002, "&gt;" &amp; X$2)</f>
        <v>1</v>
      </c>
      <c r="Y3" s="67">
        <f>COUNTIFS(Продажи!$B$2:$B$1002, $A3, Продажи!$E$2:$E$1002, "&lt;=" &amp; Y$2, Продажи!$F$2:$F$1002, "&gt;" &amp; Y$2)</f>
        <v>1</v>
      </c>
      <c r="Z3" s="67">
        <f>COUNTIFS(Продажи!$B$2:$B$1002, $A3, Продажи!$E$2:$E$1002, "&lt;=" &amp; Z$2, Продажи!$F$2:$F$1002, "&gt;" &amp; Z$2)</f>
        <v>1</v>
      </c>
      <c r="AA3" s="67">
        <f>COUNTIFS(Продажи!$B$2:$B$1002, $A3, Продажи!$E$2:$E$1002, "&lt;=" &amp; AA$2, Продажи!$F$2:$F$1002, "&gt;" &amp; AA$2)</f>
        <v>1</v>
      </c>
      <c r="AB3" s="67">
        <f>COUNTIFS(Продажи!$B$2:$B$1002, $A3, Продажи!$E$2:$E$1002, "&lt;=" &amp; AB$2, Продажи!$F$2:$F$1002, "&gt;" &amp; AB$2)</f>
        <v>1</v>
      </c>
      <c r="AC3" s="67">
        <f>COUNTIFS(Продажи!$B$2:$B$1002, $A3, Продажи!$E$2:$E$1002, "&lt;=" &amp; AC$2, Продажи!$F$2:$F$1002, "&gt;" &amp; AC$2)</f>
        <v>1</v>
      </c>
      <c r="AD3" s="67">
        <f>COUNTIFS(Продажи!$B$2:$B$1002, $A3, Продажи!$E$2:$E$1002, "&lt;=" &amp; AD$2, Продажи!$F$2:$F$1002, "&gt;" &amp; AD$2)</f>
        <v>1</v>
      </c>
      <c r="AE3" s="67">
        <f>SUM(B3:AD3)</f>
        <v>29</v>
      </c>
      <c r="AF3" s="64" t="str">
        <f ca="1">IF(SUM(OFFSET($B3,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3" s="98">
        <f>VLOOKUP(A3,ID_купе[],2,0)</f>
        <v>1</v>
      </c>
      <c r="AH3" s="132" t="str">
        <f ca="1">IF(AF3="Мест нет", "Занято",  IF(COUNTIFS($AG$3:$AG$56, AG3, $AF$3:$AF$56, "Свободно") = COUNTIF($AG$3:$AG$56, AG3),  "Целое купе/отсек", "Частично"))</f>
        <v>Занято</v>
      </c>
      <c r="AL3" s="70"/>
      <c r="AM3" s="69"/>
    </row>
    <row r="4" spans="1:57" x14ac:dyDescent="0.25">
      <c r="A4" s="68">
        <v>2</v>
      </c>
      <c r="B4" s="67">
        <f>COUNTIFS(Продажи!$B$2:$B$1002, $A4, Продажи!$E$2:$E$1002, "&lt;=" &amp; B$2, Продажи!$F$2:$F$1002, "&gt;" &amp; B$2)</f>
        <v>1</v>
      </c>
      <c r="C4" s="67">
        <f>COUNTIFS(Продажи!$B$2:$B$1002, $A4, Продажи!$E$2:$E$1002, "&lt;=" &amp; C$2, Продажи!$F$2:$F$1002, "&gt;" &amp; C$2)</f>
        <v>1</v>
      </c>
      <c r="D4" s="67">
        <f>COUNTIFS(Продажи!$B$2:$B$1002, $A4, Продажи!$E$2:$E$1002, "&lt;=" &amp; D$2, Продажи!$F$2:$F$1002, "&gt;" &amp; D$2)</f>
        <v>1</v>
      </c>
      <c r="E4" s="67">
        <f>COUNTIFS(Продажи!$B$2:$B$1002, $A4, Продажи!$E$2:$E$1002, "&lt;=" &amp; E$2, Продажи!$F$2:$F$1002, "&gt;" &amp; E$2)</f>
        <v>1</v>
      </c>
      <c r="F4" s="67">
        <f>COUNTIFS(Продажи!$B$2:$B$1002, $A4, Продажи!$E$2:$E$1002, "&lt;=" &amp; F$2, Продажи!$F$2:$F$1002, "&gt;" &amp; F$2)</f>
        <v>1</v>
      </c>
      <c r="G4" s="67">
        <f>COUNTIFS(Продажи!$B$2:$B$1002, $A4, Продажи!$E$2:$E$1002, "&lt;=" &amp; G$2, Продажи!$F$2:$F$1002, "&gt;" &amp; G$2)</f>
        <v>1</v>
      </c>
      <c r="H4" s="67">
        <f>COUNTIFS(Продажи!$B$2:$B$1002, $A4, Продажи!$E$2:$E$1002, "&lt;=" &amp; H$2, Продажи!$F$2:$F$1002, "&gt;" &amp; H$2)</f>
        <v>1</v>
      </c>
      <c r="I4" s="67">
        <f>COUNTIFS(Продажи!$B$2:$B$1002, $A4, Продажи!$E$2:$E$1002, "&lt;=" &amp; I$2, Продажи!$F$2:$F$1002, "&gt;" &amp; I$2)</f>
        <v>1</v>
      </c>
      <c r="J4" s="67">
        <f>COUNTIFS(Продажи!$B$2:$B$1002, $A4, Продажи!$E$2:$E$1002, "&lt;=" &amp; J$2, Продажи!$F$2:$F$1002, "&gt;" &amp; J$2)</f>
        <v>1</v>
      </c>
      <c r="K4" s="67">
        <f>COUNTIFS(Продажи!$B$2:$B$1002, $A4, Продажи!$E$2:$E$1002, "&lt;=" &amp; K$2, Продажи!$F$2:$F$1002, "&gt;" &amp; K$2)</f>
        <v>1</v>
      </c>
      <c r="L4" s="67">
        <f>COUNTIFS(Продажи!$B$2:$B$1002, $A4, Продажи!$E$2:$E$1002, "&lt;=" &amp; L$2, Продажи!$F$2:$F$1002, "&gt;" &amp; L$2)</f>
        <v>1</v>
      </c>
      <c r="M4" s="67">
        <f>COUNTIFS(Продажи!$B$2:$B$1002, $A4, Продажи!$E$2:$E$1002, "&lt;=" &amp; M$2, Продажи!$F$2:$F$1002, "&gt;" &amp; M$2)</f>
        <v>1</v>
      </c>
      <c r="N4" s="67">
        <f>COUNTIFS(Продажи!$B$2:$B$1002, $A4, Продажи!$E$2:$E$1002, "&lt;=" &amp; N$2, Продажи!$F$2:$F$1002, "&gt;" &amp; N$2)</f>
        <v>1</v>
      </c>
      <c r="O4" s="67">
        <f>COUNTIFS(Продажи!$B$2:$B$1002, $A4, Продажи!$E$2:$E$1002, "&lt;=" &amp; O$2, Продажи!$F$2:$F$1002, "&gt;" &amp; O$2)</f>
        <v>1</v>
      </c>
      <c r="P4" s="67">
        <f>COUNTIFS(Продажи!$B$2:$B$1002, $A4, Продажи!$E$2:$E$1002, "&lt;=" &amp; P$2, Продажи!$F$2:$F$1002, "&gt;" &amp; P$2)</f>
        <v>1</v>
      </c>
      <c r="Q4" s="67">
        <f>COUNTIFS(Продажи!$B$2:$B$1002, $A4, Продажи!$E$2:$E$1002, "&lt;=" &amp; Q$2, Продажи!$F$2:$F$1002, "&gt;" &amp; Q$2)</f>
        <v>1</v>
      </c>
      <c r="R4" s="67">
        <f>COUNTIFS(Продажи!$B$2:$B$1002, $A4, Продажи!$E$2:$E$1002, "&lt;=" &amp; R$2, Продажи!$F$2:$F$1002, "&gt;" &amp; R$2)</f>
        <v>1</v>
      </c>
      <c r="S4" s="67">
        <f>COUNTIFS(Продажи!$B$2:$B$1002, $A4, Продажи!$E$2:$E$1002, "&lt;=" &amp; S$2, Продажи!$F$2:$F$1002, "&gt;" &amp; S$2)</f>
        <v>1</v>
      </c>
      <c r="T4" s="67">
        <f>COUNTIFS(Продажи!$B$2:$B$1002, $A4, Продажи!$E$2:$E$1002, "&lt;=" &amp; T$2, Продажи!$F$2:$F$1002, "&gt;" &amp; T$2)</f>
        <v>1</v>
      </c>
      <c r="U4" s="67">
        <f>COUNTIFS(Продажи!$B$2:$B$1002, $A4, Продажи!$E$2:$E$1002, "&lt;=" &amp; U$2, Продажи!$F$2:$F$1002, "&gt;" &amp; U$2)</f>
        <v>1</v>
      </c>
      <c r="V4" s="67">
        <f>COUNTIFS(Продажи!$B$2:$B$1002, $A4, Продажи!$E$2:$E$1002, "&lt;=" &amp; V$2, Продажи!$F$2:$F$1002, "&gt;" &amp; V$2)</f>
        <v>1</v>
      </c>
      <c r="W4" s="67">
        <f>COUNTIFS(Продажи!$B$2:$B$1002, $A4, Продажи!$E$2:$E$1002, "&lt;=" &amp; W$2, Продажи!$F$2:$F$1002, "&gt;" &amp; W$2)</f>
        <v>1</v>
      </c>
      <c r="X4" s="67">
        <f>COUNTIFS(Продажи!$B$2:$B$1002, $A4, Продажи!$E$2:$E$1002, "&lt;=" &amp; X$2, Продажи!$F$2:$F$1002, "&gt;" &amp; X$2)</f>
        <v>1</v>
      </c>
      <c r="Y4" s="67">
        <f>COUNTIFS(Продажи!$B$2:$B$1002, $A4, Продажи!$E$2:$E$1002, "&lt;=" &amp; Y$2, Продажи!$F$2:$F$1002, "&gt;" &amp; Y$2)</f>
        <v>1</v>
      </c>
      <c r="Z4" s="67">
        <f>COUNTIFS(Продажи!$B$2:$B$1002, $A4, Продажи!$E$2:$E$1002, "&lt;=" &amp; Z$2, Продажи!$F$2:$F$1002, "&gt;" &amp; Z$2)</f>
        <v>1</v>
      </c>
      <c r="AA4" s="67">
        <f>COUNTIFS(Продажи!$B$2:$B$1002, $A4, Продажи!$E$2:$E$1002, "&lt;=" &amp; AA$2, Продажи!$F$2:$F$1002, "&gt;" &amp; AA$2)</f>
        <v>1</v>
      </c>
      <c r="AB4" s="67">
        <f>COUNTIFS(Продажи!$B$2:$B$1002, $A4, Продажи!$E$2:$E$1002, "&lt;=" &amp; AB$2, Продажи!$F$2:$F$1002, "&gt;" &amp; AB$2)</f>
        <v>1</v>
      </c>
      <c r="AC4" s="67">
        <f>COUNTIFS(Продажи!$B$2:$B$1002, $A4, Продажи!$E$2:$E$1002, "&lt;=" &amp; AC$2, Продажи!$F$2:$F$1002, "&gt;" &amp; AC$2)</f>
        <v>1</v>
      </c>
      <c r="AD4" s="67">
        <f>COUNTIFS(Продажи!$B$2:$B$1002, $A4, Продажи!$E$2:$E$1002, "&lt;=" &amp; AD$2, Продажи!$F$2:$F$1002, "&gt;" &amp; AD$2)</f>
        <v>1</v>
      </c>
      <c r="AE4" s="67">
        <f t="shared" ref="AE4:AE56" si="0">SUM(B4:AD4)</f>
        <v>29</v>
      </c>
      <c r="AF4" s="64" t="str">
        <f ca="1">IF(SUM(OFFSET($B4,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4" s="98">
        <f>VLOOKUP(A4,ID_купе[],2,0)</f>
        <v>1</v>
      </c>
      <c r="AH4" s="132" t="str">
        <f t="shared" ref="AH4:AH56" ca="1" si="1">IF(AF4="Мест нет", "Занято",  IF(COUNTIFS($AG$3:$AG$56, AG4, $AF$3:$AF$56, "Свободно") = COUNTIF($AG$3:$AG$56, AG4),  "Целое купе/отсек", "Частично"))</f>
        <v>Занято</v>
      </c>
      <c r="AL4" s="70"/>
      <c r="AM4" s="69"/>
    </row>
    <row r="5" spans="1:57" x14ac:dyDescent="0.25">
      <c r="A5" s="68">
        <v>3</v>
      </c>
      <c r="B5" s="67">
        <f>COUNTIFS(Продажи!$B$2:$B$1002, $A5, Продажи!$E$2:$E$1002, "&lt;=" &amp; B$2, Продажи!$F$2:$F$1002, "&gt;" &amp; B$2)</f>
        <v>1</v>
      </c>
      <c r="C5" s="67">
        <f>COUNTIFS(Продажи!$B$2:$B$1002, $A5, Продажи!$E$2:$E$1002, "&lt;=" &amp; C$2, Продажи!$F$2:$F$1002, "&gt;" &amp; C$2)</f>
        <v>1</v>
      </c>
      <c r="D5" s="67">
        <f>COUNTIFS(Продажи!$B$2:$B$1002, $A5, Продажи!$E$2:$E$1002, "&lt;=" &amp; D$2, Продажи!$F$2:$F$1002, "&gt;" &amp; D$2)</f>
        <v>1</v>
      </c>
      <c r="E5" s="67">
        <f>COUNTIFS(Продажи!$B$2:$B$1002, $A5, Продажи!$E$2:$E$1002, "&lt;=" &amp; E$2, Продажи!$F$2:$F$1002, "&gt;" &amp; E$2)</f>
        <v>1</v>
      </c>
      <c r="F5" s="67">
        <f>COUNTIFS(Продажи!$B$2:$B$1002, $A5, Продажи!$E$2:$E$1002, "&lt;=" &amp; F$2, Продажи!$F$2:$F$1002, "&gt;" &amp; F$2)</f>
        <v>1</v>
      </c>
      <c r="G5" s="67">
        <f>COUNTIFS(Продажи!$B$2:$B$1002, $A5, Продажи!$E$2:$E$1002, "&lt;=" &amp; G$2, Продажи!$F$2:$F$1002, "&gt;" &amp; G$2)</f>
        <v>1</v>
      </c>
      <c r="H5" s="67">
        <f>COUNTIFS(Продажи!$B$2:$B$1002, $A5, Продажи!$E$2:$E$1002, "&lt;=" &amp; H$2, Продажи!$F$2:$F$1002, "&gt;" &amp; H$2)</f>
        <v>1</v>
      </c>
      <c r="I5" s="67">
        <f>COUNTIFS(Продажи!$B$2:$B$1002, $A5, Продажи!$E$2:$E$1002, "&lt;=" &amp; I$2, Продажи!$F$2:$F$1002, "&gt;" &amp; I$2)</f>
        <v>1</v>
      </c>
      <c r="J5" s="67">
        <f>COUNTIFS(Продажи!$B$2:$B$1002, $A5, Продажи!$E$2:$E$1002, "&lt;=" &amp; J$2, Продажи!$F$2:$F$1002, "&gt;" &amp; J$2)</f>
        <v>1</v>
      </c>
      <c r="K5" s="67">
        <f>COUNTIFS(Продажи!$B$2:$B$1002, $A5, Продажи!$E$2:$E$1002, "&lt;=" &amp; K$2, Продажи!$F$2:$F$1002, "&gt;" &amp; K$2)</f>
        <v>1</v>
      </c>
      <c r="L5" s="67">
        <f>COUNTIFS(Продажи!$B$2:$B$1002, $A5, Продажи!$E$2:$E$1002, "&lt;=" &amp; L$2, Продажи!$F$2:$F$1002, "&gt;" &amp; L$2)</f>
        <v>1</v>
      </c>
      <c r="M5" s="67">
        <f>COUNTIFS(Продажи!$B$2:$B$1002, $A5, Продажи!$E$2:$E$1002, "&lt;=" &amp; M$2, Продажи!$F$2:$F$1002, "&gt;" &amp; M$2)</f>
        <v>1</v>
      </c>
      <c r="N5" s="67">
        <f>COUNTIFS(Продажи!$B$2:$B$1002, $A5, Продажи!$E$2:$E$1002, "&lt;=" &amp; N$2, Продажи!$F$2:$F$1002, "&gt;" &amp; N$2)</f>
        <v>1</v>
      </c>
      <c r="O5" s="67">
        <f>COUNTIFS(Продажи!$B$2:$B$1002, $A5, Продажи!$E$2:$E$1002, "&lt;=" &amp; O$2, Продажи!$F$2:$F$1002, "&gt;" &amp; O$2)</f>
        <v>1</v>
      </c>
      <c r="P5" s="67">
        <f>COUNTIFS(Продажи!$B$2:$B$1002, $A5, Продажи!$E$2:$E$1002, "&lt;=" &amp; P$2, Продажи!$F$2:$F$1002, "&gt;" &amp; P$2)</f>
        <v>1</v>
      </c>
      <c r="Q5" s="67">
        <f>COUNTIFS(Продажи!$B$2:$B$1002, $A5, Продажи!$E$2:$E$1002, "&lt;=" &amp; Q$2, Продажи!$F$2:$F$1002, "&gt;" &amp; Q$2)</f>
        <v>1</v>
      </c>
      <c r="R5" s="67">
        <f>COUNTIFS(Продажи!$B$2:$B$1002, $A5, Продажи!$E$2:$E$1002, "&lt;=" &amp; R$2, Продажи!$F$2:$F$1002, "&gt;" &amp; R$2)</f>
        <v>1</v>
      </c>
      <c r="S5" s="67">
        <f>COUNTIFS(Продажи!$B$2:$B$1002, $A5, Продажи!$E$2:$E$1002, "&lt;=" &amp; S$2, Продажи!$F$2:$F$1002, "&gt;" &amp; S$2)</f>
        <v>1</v>
      </c>
      <c r="T5" s="67">
        <f>COUNTIFS(Продажи!$B$2:$B$1002, $A5, Продажи!$E$2:$E$1002, "&lt;=" &amp; T$2, Продажи!$F$2:$F$1002, "&gt;" &amp; T$2)</f>
        <v>1</v>
      </c>
      <c r="U5" s="67">
        <f>COUNTIFS(Продажи!$B$2:$B$1002, $A5, Продажи!$E$2:$E$1002, "&lt;=" &amp; U$2, Продажи!$F$2:$F$1002, "&gt;" &amp; U$2)</f>
        <v>1</v>
      </c>
      <c r="V5" s="67">
        <f>COUNTIFS(Продажи!$B$2:$B$1002, $A5, Продажи!$E$2:$E$1002, "&lt;=" &amp; V$2, Продажи!$F$2:$F$1002, "&gt;" &amp; V$2)</f>
        <v>1</v>
      </c>
      <c r="W5" s="67">
        <f>COUNTIFS(Продажи!$B$2:$B$1002, $A5, Продажи!$E$2:$E$1002, "&lt;=" &amp; W$2, Продажи!$F$2:$F$1002, "&gt;" &amp; W$2)</f>
        <v>1</v>
      </c>
      <c r="X5" s="67">
        <f>COUNTIFS(Продажи!$B$2:$B$1002, $A5, Продажи!$E$2:$E$1002, "&lt;=" &amp; X$2, Продажи!$F$2:$F$1002, "&gt;" &amp; X$2)</f>
        <v>1</v>
      </c>
      <c r="Y5" s="67">
        <f>COUNTIFS(Продажи!$B$2:$B$1002, $A5, Продажи!$E$2:$E$1002, "&lt;=" &amp; Y$2, Продажи!$F$2:$F$1002, "&gt;" &amp; Y$2)</f>
        <v>1</v>
      </c>
      <c r="Z5" s="67">
        <f>COUNTIFS(Продажи!$B$2:$B$1002, $A5, Продажи!$E$2:$E$1002, "&lt;=" &amp; Z$2, Продажи!$F$2:$F$1002, "&gt;" &amp; Z$2)</f>
        <v>1</v>
      </c>
      <c r="AA5" s="67">
        <f>COUNTIFS(Продажи!$B$2:$B$1002, $A5, Продажи!$E$2:$E$1002, "&lt;=" &amp; AA$2, Продажи!$F$2:$F$1002, "&gt;" &amp; AA$2)</f>
        <v>1</v>
      </c>
      <c r="AB5" s="67">
        <f>COUNTIFS(Продажи!$B$2:$B$1002, $A5, Продажи!$E$2:$E$1002, "&lt;=" &amp; AB$2, Продажи!$F$2:$F$1002, "&gt;" &amp; AB$2)</f>
        <v>1</v>
      </c>
      <c r="AC5" s="67">
        <f>COUNTIFS(Продажи!$B$2:$B$1002, $A5, Продажи!$E$2:$E$1002, "&lt;=" &amp; AC$2, Продажи!$F$2:$F$1002, "&gt;" &amp; AC$2)</f>
        <v>1</v>
      </c>
      <c r="AD5" s="67">
        <f>COUNTIFS(Продажи!$B$2:$B$1002, $A5, Продажи!$E$2:$E$1002, "&lt;=" &amp; AD$2, Продажи!$F$2:$F$1002, "&gt;" &amp; AD$2)</f>
        <v>1</v>
      </c>
      <c r="AE5" s="67">
        <f t="shared" si="0"/>
        <v>29</v>
      </c>
      <c r="AF5" s="64" t="str">
        <f ca="1">IF(SUM(OFFSET($B5,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5" s="98">
        <f>VLOOKUP(A5,ID_купе[],2,0)</f>
        <v>1</v>
      </c>
      <c r="AH5" s="132" t="str">
        <f t="shared" ca="1" si="1"/>
        <v>Занято</v>
      </c>
      <c r="AM5" s="88"/>
      <c r="AN5" s="88"/>
    </row>
    <row r="6" spans="1:57" x14ac:dyDescent="0.25">
      <c r="A6" s="68">
        <v>4</v>
      </c>
      <c r="B6" s="67">
        <f>COUNTIFS(Продажи!$B$2:$B$1002, $A6, Продажи!$E$2:$E$1002, "&lt;=" &amp; B$2, Продажи!$F$2:$F$1002, "&gt;" &amp; B$2)</f>
        <v>0</v>
      </c>
      <c r="C6" s="67">
        <f>COUNTIFS(Продажи!$B$2:$B$1002, $A6, Продажи!$E$2:$E$1002, "&lt;=" &amp; C$2, Продажи!$F$2:$F$1002, "&gt;" &amp; C$2)</f>
        <v>1</v>
      </c>
      <c r="D6" s="67">
        <f>COUNTIFS(Продажи!$B$2:$B$1002, $A6, Продажи!$E$2:$E$1002, "&lt;=" &amp; D$2, Продажи!$F$2:$F$1002, "&gt;" &amp; D$2)</f>
        <v>1</v>
      </c>
      <c r="E6" s="67">
        <f>COUNTIFS(Продажи!$B$2:$B$1002, $A6, Продажи!$E$2:$E$1002, "&lt;=" &amp; E$2, Продажи!$F$2:$F$1002, "&gt;" &amp; E$2)</f>
        <v>1</v>
      </c>
      <c r="F6" s="67">
        <f>COUNTIFS(Продажи!$B$2:$B$1002, $A6, Продажи!$E$2:$E$1002, "&lt;=" &amp; F$2, Продажи!$F$2:$F$1002, "&gt;" &amp; F$2)</f>
        <v>1</v>
      </c>
      <c r="G6" s="67">
        <f>COUNTIFS(Продажи!$B$2:$B$1002, $A6, Продажи!$E$2:$E$1002, "&lt;=" &amp; G$2, Продажи!$F$2:$F$1002, "&gt;" &amp; G$2)</f>
        <v>1</v>
      </c>
      <c r="H6" s="67">
        <f>COUNTIFS(Продажи!$B$2:$B$1002, $A6, Продажи!$E$2:$E$1002, "&lt;=" &amp; H$2, Продажи!$F$2:$F$1002, "&gt;" &amp; H$2)</f>
        <v>1</v>
      </c>
      <c r="I6" s="67">
        <f>COUNTIFS(Продажи!$B$2:$B$1002, $A6, Продажи!$E$2:$E$1002, "&lt;=" &amp; I$2, Продажи!$F$2:$F$1002, "&gt;" &amp; I$2)</f>
        <v>1</v>
      </c>
      <c r="J6" s="67">
        <f>COUNTIFS(Продажи!$B$2:$B$1002, $A6, Продажи!$E$2:$E$1002, "&lt;=" &amp; J$2, Продажи!$F$2:$F$1002, "&gt;" &amp; J$2)</f>
        <v>1</v>
      </c>
      <c r="K6" s="67">
        <f>COUNTIFS(Продажи!$B$2:$B$1002, $A6, Продажи!$E$2:$E$1002, "&lt;=" &amp; K$2, Продажи!$F$2:$F$1002, "&gt;" &amp; K$2)</f>
        <v>1</v>
      </c>
      <c r="L6" s="67">
        <f>COUNTIFS(Продажи!$B$2:$B$1002, $A6, Продажи!$E$2:$E$1002, "&lt;=" &amp; L$2, Продажи!$F$2:$F$1002, "&gt;" &amp; L$2)</f>
        <v>1</v>
      </c>
      <c r="M6" s="67">
        <f>COUNTIFS(Продажи!$B$2:$B$1002, $A6, Продажи!$E$2:$E$1002, "&lt;=" &amp; M$2, Продажи!$F$2:$F$1002, "&gt;" &amp; M$2)</f>
        <v>1</v>
      </c>
      <c r="N6" s="67">
        <f>COUNTIFS(Продажи!$B$2:$B$1002, $A6, Продажи!$E$2:$E$1002, "&lt;=" &amp; N$2, Продажи!$F$2:$F$1002, "&gt;" &amp; N$2)</f>
        <v>1</v>
      </c>
      <c r="O6" s="67">
        <f>COUNTIFS(Продажи!$B$2:$B$1002, $A6, Продажи!$E$2:$E$1002, "&lt;=" &amp; O$2, Продажи!$F$2:$F$1002, "&gt;" &amp; O$2)</f>
        <v>1</v>
      </c>
      <c r="P6" s="67">
        <f>COUNTIFS(Продажи!$B$2:$B$1002, $A6, Продажи!$E$2:$E$1002, "&lt;=" &amp; P$2, Продажи!$F$2:$F$1002, "&gt;" &amp; P$2)</f>
        <v>1</v>
      </c>
      <c r="Q6" s="67">
        <f>COUNTIFS(Продажи!$B$2:$B$1002, $A6, Продажи!$E$2:$E$1002, "&lt;=" &amp; Q$2, Продажи!$F$2:$F$1002, "&gt;" &amp; Q$2)</f>
        <v>1</v>
      </c>
      <c r="R6" s="67">
        <f>COUNTIFS(Продажи!$B$2:$B$1002, $A6, Продажи!$E$2:$E$1002, "&lt;=" &amp; R$2, Продажи!$F$2:$F$1002, "&gt;" &amp; R$2)</f>
        <v>1</v>
      </c>
      <c r="S6" s="67">
        <f>COUNTIFS(Продажи!$B$2:$B$1002, $A6, Продажи!$E$2:$E$1002, "&lt;=" &amp; S$2, Продажи!$F$2:$F$1002, "&gt;" &amp; S$2)</f>
        <v>1</v>
      </c>
      <c r="T6" s="67">
        <f>COUNTIFS(Продажи!$B$2:$B$1002, $A6, Продажи!$E$2:$E$1002, "&lt;=" &amp; T$2, Продажи!$F$2:$F$1002, "&gt;" &amp; T$2)</f>
        <v>1</v>
      </c>
      <c r="U6" s="67">
        <f>COUNTIFS(Продажи!$B$2:$B$1002, $A6, Продажи!$E$2:$E$1002, "&lt;=" &amp; U$2, Продажи!$F$2:$F$1002, "&gt;" &amp; U$2)</f>
        <v>1</v>
      </c>
      <c r="V6" s="67">
        <f>COUNTIFS(Продажи!$B$2:$B$1002, $A6, Продажи!$E$2:$E$1002, "&lt;=" &amp; V$2, Продажи!$F$2:$F$1002, "&gt;" &amp; V$2)</f>
        <v>1</v>
      </c>
      <c r="W6" s="67">
        <f>COUNTIFS(Продажи!$B$2:$B$1002, $A6, Продажи!$E$2:$E$1002, "&lt;=" &amp; W$2, Продажи!$F$2:$F$1002, "&gt;" &amp; W$2)</f>
        <v>1</v>
      </c>
      <c r="X6" s="67">
        <f>COUNTIFS(Продажи!$B$2:$B$1002, $A6, Продажи!$E$2:$E$1002, "&lt;=" &amp; X$2, Продажи!$F$2:$F$1002, "&gt;" &amp; X$2)</f>
        <v>1</v>
      </c>
      <c r="Y6" s="67">
        <f>COUNTIFS(Продажи!$B$2:$B$1002, $A6, Продажи!$E$2:$E$1002, "&lt;=" &amp; Y$2, Продажи!$F$2:$F$1002, "&gt;" &amp; Y$2)</f>
        <v>1</v>
      </c>
      <c r="Z6" s="67">
        <f>COUNTIFS(Продажи!$B$2:$B$1002, $A6, Продажи!$E$2:$E$1002, "&lt;=" &amp; Z$2, Продажи!$F$2:$F$1002, "&gt;" &amp; Z$2)</f>
        <v>1</v>
      </c>
      <c r="AA6" s="67">
        <f>COUNTIFS(Продажи!$B$2:$B$1002, $A6, Продажи!$E$2:$E$1002, "&lt;=" &amp; AA$2, Продажи!$F$2:$F$1002, "&gt;" &amp; AA$2)</f>
        <v>1</v>
      </c>
      <c r="AB6" s="67">
        <f>COUNTIFS(Продажи!$B$2:$B$1002, $A6, Продажи!$E$2:$E$1002, "&lt;=" &amp; AB$2, Продажи!$F$2:$F$1002, "&gt;" &amp; AB$2)</f>
        <v>1</v>
      </c>
      <c r="AC6" s="67">
        <f>COUNTIFS(Продажи!$B$2:$B$1002, $A6, Продажи!$E$2:$E$1002, "&lt;=" &amp; AC$2, Продажи!$F$2:$F$1002, "&gt;" &amp; AC$2)</f>
        <v>1</v>
      </c>
      <c r="AD6" s="67">
        <f>COUNTIFS(Продажи!$B$2:$B$1002, $A6, Продажи!$E$2:$E$1002, "&lt;=" &amp; AD$2, Продажи!$F$2:$F$1002, "&gt;" &amp; AD$2)</f>
        <v>1</v>
      </c>
      <c r="AE6" s="67">
        <f t="shared" si="0"/>
        <v>28</v>
      </c>
      <c r="AF6" s="64" t="str">
        <f ca="1">IF(SUM(OFFSET($B6,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6" s="98">
        <f>VLOOKUP(A6,ID_купе[],2,0)</f>
        <v>1</v>
      </c>
      <c r="AH6" s="132" t="str">
        <f t="shared" ca="1" si="1"/>
        <v>Занято</v>
      </c>
      <c r="AM6" s="88"/>
      <c r="AN6" s="88"/>
    </row>
    <row r="7" spans="1:57" x14ac:dyDescent="0.25">
      <c r="A7" s="68">
        <v>5</v>
      </c>
      <c r="B7" s="67">
        <f>COUNTIFS(Продажи!$B$2:$B$1002, $A7, Продажи!$E$2:$E$1002, "&lt;=" &amp; B$2, Продажи!$F$2:$F$1002, "&gt;" &amp; B$2)</f>
        <v>0</v>
      </c>
      <c r="C7" s="67">
        <f>COUNTIFS(Продажи!$B$2:$B$1002, $A7, Продажи!$E$2:$E$1002, "&lt;=" &amp; C$2, Продажи!$F$2:$F$1002, "&gt;" &amp; C$2)</f>
        <v>0</v>
      </c>
      <c r="D7" s="67">
        <f>COUNTIFS(Продажи!$B$2:$B$1002, $A7, Продажи!$E$2:$E$1002, "&lt;=" &amp; D$2, Продажи!$F$2:$F$1002, "&gt;" &amp; D$2)</f>
        <v>0</v>
      </c>
      <c r="E7" s="67">
        <f>COUNTIFS(Продажи!$B$2:$B$1002, $A7, Продажи!$E$2:$E$1002, "&lt;=" &amp; E$2, Продажи!$F$2:$F$1002, "&gt;" &amp; E$2)</f>
        <v>1</v>
      </c>
      <c r="F7" s="67">
        <f>COUNTIFS(Продажи!$B$2:$B$1002, $A7, Продажи!$E$2:$E$1002, "&lt;=" &amp; F$2, Продажи!$F$2:$F$1002, "&gt;" &amp; F$2)</f>
        <v>1</v>
      </c>
      <c r="G7" s="67">
        <f>COUNTIFS(Продажи!$B$2:$B$1002, $A7, Продажи!$E$2:$E$1002, "&lt;=" &amp; G$2, Продажи!$F$2:$F$1002, "&gt;" &amp; G$2)</f>
        <v>1</v>
      </c>
      <c r="H7" s="67">
        <f>COUNTIFS(Продажи!$B$2:$B$1002, $A7, Продажи!$E$2:$E$1002, "&lt;=" &amp; H$2, Продажи!$F$2:$F$1002, "&gt;" &amp; H$2)</f>
        <v>1</v>
      </c>
      <c r="I7" s="67">
        <f>COUNTIFS(Продажи!$B$2:$B$1002, $A7, Продажи!$E$2:$E$1002, "&lt;=" &amp; I$2, Продажи!$F$2:$F$1002, "&gt;" &amp; I$2)</f>
        <v>1</v>
      </c>
      <c r="J7" s="67">
        <f>COUNTIFS(Продажи!$B$2:$B$1002, $A7, Продажи!$E$2:$E$1002, "&lt;=" &amp; J$2, Продажи!$F$2:$F$1002, "&gt;" &amp; J$2)</f>
        <v>1</v>
      </c>
      <c r="K7" s="67">
        <f>COUNTIFS(Продажи!$B$2:$B$1002, $A7, Продажи!$E$2:$E$1002, "&lt;=" &amp; K$2, Продажи!$F$2:$F$1002, "&gt;" &amp; K$2)</f>
        <v>1</v>
      </c>
      <c r="L7" s="67">
        <f>COUNTIFS(Продажи!$B$2:$B$1002, $A7, Продажи!$E$2:$E$1002, "&lt;=" &amp; L$2, Продажи!$F$2:$F$1002, "&gt;" &amp; L$2)</f>
        <v>1</v>
      </c>
      <c r="M7" s="67">
        <f>COUNTIFS(Продажи!$B$2:$B$1002, $A7, Продажи!$E$2:$E$1002, "&lt;=" &amp; M$2, Продажи!$F$2:$F$1002, "&gt;" &amp; M$2)</f>
        <v>1</v>
      </c>
      <c r="N7" s="67">
        <f>COUNTIFS(Продажи!$B$2:$B$1002, $A7, Продажи!$E$2:$E$1002, "&lt;=" &amp; N$2, Продажи!$F$2:$F$1002, "&gt;" &amp; N$2)</f>
        <v>1</v>
      </c>
      <c r="O7" s="67">
        <f>COUNTIFS(Продажи!$B$2:$B$1002, $A7, Продажи!$E$2:$E$1002, "&lt;=" &amp; O$2, Продажи!$F$2:$F$1002, "&gt;" &amp; O$2)</f>
        <v>1</v>
      </c>
      <c r="P7" s="67">
        <f>COUNTIFS(Продажи!$B$2:$B$1002, $A7, Продажи!$E$2:$E$1002, "&lt;=" &amp; P$2, Продажи!$F$2:$F$1002, "&gt;" &amp; P$2)</f>
        <v>1</v>
      </c>
      <c r="Q7" s="67">
        <f>COUNTIFS(Продажи!$B$2:$B$1002, $A7, Продажи!$E$2:$E$1002, "&lt;=" &amp; Q$2, Продажи!$F$2:$F$1002, "&gt;" &amp; Q$2)</f>
        <v>1</v>
      </c>
      <c r="R7" s="67">
        <f>COUNTIFS(Продажи!$B$2:$B$1002, $A7, Продажи!$E$2:$E$1002, "&lt;=" &amp; R$2, Продажи!$F$2:$F$1002, "&gt;" &amp; R$2)</f>
        <v>1</v>
      </c>
      <c r="S7" s="67">
        <f>COUNTIFS(Продажи!$B$2:$B$1002, $A7, Продажи!$E$2:$E$1002, "&lt;=" &amp; S$2, Продажи!$F$2:$F$1002, "&gt;" &amp; S$2)</f>
        <v>1</v>
      </c>
      <c r="T7" s="67">
        <f>COUNTIFS(Продажи!$B$2:$B$1002, $A7, Продажи!$E$2:$E$1002, "&lt;=" &amp; T$2, Продажи!$F$2:$F$1002, "&gt;" &amp; T$2)</f>
        <v>1</v>
      </c>
      <c r="U7" s="67">
        <f>COUNTIFS(Продажи!$B$2:$B$1002, $A7, Продажи!$E$2:$E$1002, "&lt;=" &amp; U$2, Продажи!$F$2:$F$1002, "&gt;" &amp; U$2)</f>
        <v>1</v>
      </c>
      <c r="V7" s="67">
        <f>COUNTIFS(Продажи!$B$2:$B$1002, $A7, Продажи!$E$2:$E$1002, "&lt;=" &amp; V$2, Продажи!$F$2:$F$1002, "&gt;" &amp; V$2)</f>
        <v>1</v>
      </c>
      <c r="W7" s="67">
        <f>COUNTIFS(Продажи!$B$2:$B$1002, $A7, Продажи!$E$2:$E$1002, "&lt;=" &amp; W$2, Продажи!$F$2:$F$1002, "&gt;" &amp; W$2)</f>
        <v>1</v>
      </c>
      <c r="X7" s="67">
        <f>COUNTIFS(Продажи!$B$2:$B$1002, $A7, Продажи!$E$2:$E$1002, "&lt;=" &amp; X$2, Продажи!$F$2:$F$1002, "&gt;" &amp; X$2)</f>
        <v>1</v>
      </c>
      <c r="Y7" s="67">
        <f>COUNTIFS(Продажи!$B$2:$B$1002, $A7, Продажи!$E$2:$E$1002, "&lt;=" &amp; Y$2, Продажи!$F$2:$F$1002, "&gt;" &amp; Y$2)</f>
        <v>1</v>
      </c>
      <c r="Z7" s="67">
        <f>COUNTIFS(Продажи!$B$2:$B$1002, $A7, Продажи!$E$2:$E$1002, "&lt;=" &amp; Z$2, Продажи!$F$2:$F$1002, "&gt;" &amp; Z$2)</f>
        <v>1</v>
      </c>
      <c r="AA7" s="67">
        <f>COUNTIFS(Продажи!$B$2:$B$1002, $A7, Продажи!$E$2:$E$1002, "&lt;=" &amp; AA$2, Продажи!$F$2:$F$1002, "&gt;" &amp; AA$2)</f>
        <v>1</v>
      </c>
      <c r="AB7" s="67">
        <f>COUNTIFS(Продажи!$B$2:$B$1002, $A7, Продажи!$E$2:$E$1002, "&lt;=" &amp; AB$2, Продажи!$F$2:$F$1002, "&gt;" &amp; AB$2)</f>
        <v>1</v>
      </c>
      <c r="AC7" s="67">
        <f>COUNTIFS(Продажи!$B$2:$B$1002, $A7, Продажи!$E$2:$E$1002, "&lt;=" &amp; AC$2, Продажи!$F$2:$F$1002, "&gt;" &amp; AC$2)</f>
        <v>1</v>
      </c>
      <c r="AD7" s="67">
        <f>COUNTIFS(Продажи!$B$2:$B$1002, $A7, Продажи!$E$2:$E$1002, "&lt;=" &amp; AD$2, Продажи!$F$2:$F$1002, "&gt;" &amp; AD$2)</f>
        <v>1</v>
      </c>
      <c r="AE7" s="67">
        <f t="shared" si="0"/>
        <v>26</v>
      </c>
      <c r="AF7" s="64" t="str">
        <f ca="1">IF(SUM(OFFSET($B7,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7" s="98">
        <f>VLOOKUP(A7,ID_купе[],2,0)</f>
        <v>2</v>
      </c>
      <c r="AH7" s="132" t="str">
        <f t="shared" ca="1" si="1"/>
        <v>Занято</v>
      </c>
    </row>
    <row r="8" spans="1:57" x14ac:dyDescent="0.25">
      <c r="A8" s="68">
        <v>6</v>
      </c>
      <c r="B8" s="67">
        <f>COUNTIFS(Продажи!$B$2:$B$1002, $A8, Продажи!$E$2:$E$1002, "&lt;=" &amp; B$2, Продажи!$F$2:$F$1002, "&gt;" &amp; B$2)</f>
        <v>1</v>
      </c>
      <c r="C8" s="67">
        <f>COUNTIFS(Продажи!$B$2:$B$1002, $A8, Продажи!$E$2:$E$1002, "&lt;=" &amp; C$2, Продажи!$F$2:$F$1002, "&gt;" &amp; C$2)</f>
        <v>1</v>
      </c>
      <c r="D8" s="67">
        <f>COUNTIFS(Продажи!$B$2:$B$1002, $A8, Продажи!$E$2:$E$1002, "&lt;=" &amp; D$2, Продажи!$F$2:$F$1002, "&gt;" &amp; D$2)</f>
        <v>1</v>
      </c>
      <c r="E8" s="67">
        <f>COUNTIFS(Продажи!$B$2:$B$1002, $A8, Продажи!$E$2:$E$1002, "&lt;=" &amp; E$2, Продажи!$F$2:$F$1002, "&gt;" &amp; E$2)</f>
        <v>1</v>
      </c>
      <c r="F8" s="67">
        <f>COUNTIFS(Продажи!$B$2:$B$1002, $A8, Продажи!$E$2:$E$1002, "&lt;=" &amp; F$2, Продажи!$F$2:$F$1002, "&gt;" &amp; F$2)</f>
        <v>1</v>
      </c>
      <c r="G8" s="67">
        <f>COUNTIFS(Продажи!$B$2:$B$1002, $A8, Продажи!$E$2:$E$1002, "&lt;=" &amp; G$2, Продажи!$F$2:$F$1002, "&gt;" &amp; G$2)</f>
        <v>1</v>
      </c>
      <c r="H8" s="67">
        <f>COUNTIFS(Продажи!$B$2:$B$1002, $A8, Продажи!$E$2:$E$1002, "&lt;=" &amp; H$2, Продажи!$F$2:$F$1002, "&gt;" &amp; H$2)</f>
        <v>1</v>
      </c>
      <c r="I8" s="67">
        <f>COUNTIFS(Продажи!$B$2:$B$1002, $A8, Продажи!$E$2:$E$1002, "&lt;=" &amp; I$2, Продажи!$F$2:$F$1002, "&gt;" &amp; I$2)</f>
        <v>1</v>
      </c>
      <c r="J8" s="67">
        <f>COUNTIFS(Продажи!$B$2:$B$1002, $A8, Продажи!$E$2:$E$1002, "&lt;=" &amp; J$2, Продажи!$F$2:$F$1002, "&gt;" &amp; J$2)</f>
        <v>1</v>
      </c>
      <c r="K8" s="67">
        <f>COUNTIFS(Продажи!$B$2:$B$1002, $A8, Продажи!$E$2:$E$1002, "&lt;=" &amp; K$2, Продажи!$F$2:$F$1002, "&gt;" &amp; K$2)</f>
        <v>1</v>
      </c>
      <c r="L8" s="67">
        <f>COUNTIFS(Продажи!$B$2:$B$1002, $A8, Продажи!$E$2:$E$1002, "&lt;=" &amp; L$2, Продажи!$F$2:$F$1002, "&gt;" &amp; L$2)</f>
        <v>1</v>
      </c>
      <c r="M8" s="67">
        <f>COUNTIFS(Продажи!$B$2:$B$1002, $A8, Продажи!$E$2:$E$1002, "&lt;=" &amp; M$2, Продажи!$F$2:$F$1002, "&gt;" &amp; M$2)</f>
        <v>1</v>
      </c>
      <c r="N8" s="67">
        <f>COUNTIFS(Продажи!$B$2:$B$1002, $A8, Продажи!$E$2:$E$1002, "&lt;=" &amp; N$2, Продажи!$F$2:$F$1002, "&gt;" &amp; N$2)</f>
        <v>1</v>
      </c>
      <c r="O8" s="67">
        <f>COUNTIFS(Продажи!$B$2:$B$1002, $A8, Продажи!$E$2:$E$1002, "&lt;=" &amp; O$2, Продажи!$F$2:$F$1002, "&gt;" &amp; O$2)</f>
        <v>1</v>
      </c>
      <c r="P8" s="67">
        <f>COUNTIFS(Продажи!$B$2:$B$1002, $A8, Продажи!$E$2:$E$1002, "&lt;=" &amp; P$2, Продажи!$F$2:$F$1002, "&gt;" &amp; P$2)</f>
        <v>1</v>
      </c>
      <c r="Q8" s="67">
        <f>COUNTIFS(Продажи!$B$2:$B$1002, $A8, Продажи!$E$2:$E$1002, "&lt;=" &amp; Q$2, Продажи!$F$2:$F$1002, "&gt;" &amp; Q$2)</f>
        <v>1</v>
      </c>
      <c r="R8" s="67">
        <f>COUNTIFS(Продажи!$B$2:$B$1002, $A8, Продажи!$E$2:$E$1002, "&lt;=" &amp; R$2, Продажи!$F$2:$F$1002, "&gt;" &amp; R$2)</f>
        <v>1</v>
      </c>
      <c r="S8" s="67">
        <f>COUNTIFS(Продажи!$B$2:$B$1002, $A8, Продажи!$E$2:$E$1002, "&lt;=" &amp; S$2, Продажи!$F$2:$F$1002, "&gt;" &amp; S$2)</f>
        <v>0</v>
      </c>
      <c r="T8" s="67">
        <f>COUNTIFS(Продажи!$B$2:$B$1002, $A8, Продажи!$E$2:$E$1002, "&lt;=" &amp; T$2, Продажи!$F$2:$F$1002, "&gt;" &amp; T$2)</f>
        <v>0</v>
      </c>
      <c r="U8" s="67">
        <f>COUNTIFS(Продажи!$B$2:$B$1002, $A8, Продажи!$E$2:$E$1002, "&lt;=" &amp; U$2, Продажи!$F$2:$F$1002, "&gt;" &amp; U$2)</f>
        <v>0</v>
      </c>
      <c r="V8" s="67">
        <f>COUNTIFS(Продажи!$B$2:$B$1002, $A8, Продажи!$E$2:$E$1002, "&lt;=" &amp; V$2, Продажи!$F$2:$F$1002, "&gt;" &amp; V$2)</f>
        <v>0</v>
      </c>
      <c r="W8" s="67">
        <f>COUNTIFS(Продажи!$B$2:$B$1002, $A8, Продажи!$E$2:$E$1002, "&lt;=" &amp; W$2, Продажи!$F$2:$F$1002, "&gt;" &amp; W$2)</f>
        <v>0</v>
      </c>
      <c r="X8" s="67">
        <f>COUNTIFS(Продажи!$B$2:$B$1002, $A8, Продажи!$E$2:$E$1002, "&lt;=" &amp; X$2, Продажи!$F$2:$F$1002, "&gt;" &amp; X$2)</f>
        <v>0</v>
      </c>
      <c r="Y8" s="67">
        <f>COUNTIFS(Продажи!$B$2:$B$1002, $A8, Продажи!$E$2:$E$1002, "&lt;=" &amp; Y$2, Продажи!$F$2:$F$1002, "&gt;" &amp; Y$2)</f>
        <v>0</v>
      </c>
      <c r="Z8" s="67">
        <f>COUNTIFS(Продажи!$B$2:$B$1002, $A8, Продажи!$E$2:$E$1002, "&lt;=" &amp; Z$2, Продажи!$F$2:$F$1002, "&gt;" &amp; Z$2)</f>
        <v>0</v>
      </c>
      <c r="AA8" s="67">
        <f>COUNTIFS(Продажи!$B$2:$B$1002, $A8, Продажи!$E$2:$E$1002, "&lt;=" &amp; AA$2, Продажи!$F$2:$F$1002, "&gt;" &amp; AA$2)</f>
        <v>0</v>
      </c>
      <c r="AB8" s="67">
        <f>COUNTIFS(Продажи!$B$2:$B$1002, $A8, Продажи!$E$2:$E$1002, "&lt;=" &amp; AB$2, Продажи!$F$2:$F$1002, "&gt;" &amp; AB$2)</f>
        <v>0</v>
      </c>
      <c r="AC8" s="67">
        <f>COUNTIFS(Продажи!$B$2:$B$1002, $A8, Продажи!$E$2:$E$1002, "&lt;=" &amp; AC$2, Продажи!$F$2:$F$1002, "&gt;" &amp; AC$2)</f>
        <v>0</v>
      </c>
      <c r="AD8" s="67">
        <f>COUNTIFS(Продажи!$B$2:$B$1002, $A8, Продажи!$E$2:$E$1002, "&lt;=" &amp; AD$2, Продажи!$F$2:$F$1002, "&gt;" &amp; AD$2)</f>
        <v>0</v>
      </c>
      <c r="AE8" s="67">
        <f t="shared" si="0"/>
        <v>17</v>
      </c>
      <c r="AF8" s="64" t="str">
        <f ca="1">IF(SUM(OFFSET($B8,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8" s="98">
        <f>VLOOKUP(A8,ID_купе[],2,0)</f>
        <v>2</v>
      </c>
      <c r="AH8" s="132" t="str">
        <f t="shared" ca="1" si="1"/>
        <v>Занято</v>
      </c>
    </row>
    <row r="9" spans="1:57" x14ac:dyDescent="0.25">
      <c r="A9" s="68">
        <v>7</v>
      </c>
      <c r="B9" s="67">
        <f>COUNTIFS(Продажи!$B$2:$B$1002, $A9, Продажи!$E$2:$E$1002, "&lt;=" &amp; B$2, Продажи!$F$2:$F$1002, "&gt;" &amp; B$2)</f>
        <v>1</v>
      </c>
      <c r="C9" s="67">
        <f>COUNTIFS(Продажи!$B$2:$B$1002, $A9, Продажи!$E$2:$E$1002, "&lt;=" &amp; C$2, Продажи!$F$2:$F$1002, "&gt;" &amp; C$2)</f>
        <v>1</v>
      </c>
      <c r="D9" s="67">
        <f>COUNTIFS(Продажи!$B$2:$B$1002, $A9, Продажи!$E$2:$E$1002, "&lt;=" &amp; D$2, Продажи!$F$2:$F$1002, "&gt;" &amp; D$2)</f>
        <v>1</v>
      </c>
      <c r="E9" s="67">
        <f>COUNTIFS(Продажи!$B$2:$B$1002, $A9, Продажи!$E$2:$E$1002, "&lt;=" &amp; E$2, Продажи!$F$2:$F$1002, "&gt;" &amp; E$2)</f>
        <v>1</v>
      </c>
      <c r="F9" s="67">
        <f>COUNTIFS(Продажи!$B$2:$B$1002, $A9, Продажи!$E$2:$E$1002, "&lt;=" &amp; F$2, Продажи!$F$2:$F$1002, "&gt;" &amp; F$2)</f>
        <v>1</v>
      </c>
      <c r="G9" s="67">
        <f>COUNTIFS(Продажи!$B$2:$B$1002, $A9, Продажи!$E$2:$E$1002, "&lt;=" &amp; G$2, Продажи!$F$2:$F$1002, "&gt;" &amp; G$2)</f>
        <v>1</v>
      </c>
      <c r="H9" s="67">
        <f>COUNTIFS(Продажи!$B$2:$B$1002, $A9, Продажи!$E$2:$E$1002, "&lt;=" &amp; H$2, Продажи!$F$2:$F$1002, "&gt;" &amp; H$2)</f>
        <v>1</v>
      </c>
      <c r="I9" s="67">
        <f>COUNTIFS(Продажи!$B$2:$B$1002, $A9, Продажи!$E$2:$E$1002, "&lt;=" &amp; I$2, Продажи!$F$2:$F$1002, "&gt;" &amp; I$2)</f>
        <v>1</v>
      </c>
      <c r="J9" s="67">
        <f>COUNTIFS(Продажи!$B$2:$B$1002, $A9, Продажи!$E$2:$E$1002, "&lt;=" &amp; J$2, Продажи!$F$2:$F$1002, "&gt;" &amp; J$2)</f>
        <v>1</v>
      </c>
      <c r="K9" s="67">
        <f>COUNTIFS(Продажи!$B$2:$B$1002, $A9, Продажи!$E$2:$E$1002, "&lt;=" &amp; K$2, Продажи!$F$2:$F$1002, "&gt;" &amp; K$2)</f>
        <v>1</v>
      </c>
      <c r="L9" s="67">
        <f>COUNTIFS(Продажи!$B$2:$B$1002, $A9, Продажи!$E$2:$E$1002, "&lt;=" &amp; L$2, Продажи!$F$2:$F$1002, "&gt;" &amp; L$2)</f>
        <v>1</v>
      </c>
      <c r="M9" s="67">
        <f>COUNTIFS(Продажи!$B$2:$B$1002, $A9, Продажи!$E$2:$E$1002, "&lt;=" &amp; M$2, Продажи!$F$2:$F$1002, "&gt;" &amp; M$2)</f>
        <v>1</v>
      </c>
      <c r="N9" s="67">
        <f>COUNTIFS(Продажи!$B$2:$B$1002, $A9, Продажи!$E$2:$E$1002, "&lt;=" &amp; N$2, Продажи!$F$2:$F$1002, "&gt;" &amp; N$2)</f>
        <v>1</v>
      </c>
      <c r="O9" s="67">
        <f>COUNTIFS(Продажи!$B$2:$B$1002, $A9, Продажи!$E$2:$E$1002, "&lt;=" &amp; O$2, Продажи!$F$2:$F$1002, "&gt;" &amp; O$2)</f>
        <v>1</v>
      </c>
      <c r="P9" s="67">
        <f>COUNTIFS(Продажи!$B$2:$B$1002, $A9, Продажи!$E$2:$E$1002, "&lt;=" &amp; P$2, Продажи!$F$2:$F$1002, "&gt;" &amp; P$2)</f>
        <v>1</v>
      </c>
      <c r="Q9" s="67">
        <f>COUNTIFS(Продажи!$B$2:$B$1002, $A9, Продажи!$E$2:$E$1002, "&lt;=" &amp; Q$2, Продажи!$F$2:$F$1002, "&gt;" &amp; Q$2)</f>
        <v>0</v>
      </c>
      <c r="R9" s="67">
        <f>COUNTIFS(Продажи!$B$2:$B$1002, $A9, Продажи!$E$2:$E$1002, "&lt;=" &amp; R$2, Продажи!$F$2:$F$1002, "&gt;" &amp; R$2)</f>
        <v>0</v>
      </c>
      <c r="S9" s="67">
        <f>COUNTIFS(Продажи!$B$2:$B$1002, $A9, Продажи!$E$2:$E$1002, "&lt;=" &amp; S$2, Продажи!$F$2:$F$1002, "&gt;" &amp; S$2)</f>
        <v>0</v>
      </c>
      <c r="T9" s="67">
        <f>COUNTIFS(Продажи!$B$2:$B$1002, $A9, Продажи!$E$2:$E$1002, "&lt;=" &amp; T$2, Продажи!$F$2:$F$1002, "&gt;" &amp; T$2)</f>
        <v>0</v>
      </c>
      <c r="U9" s="67">
        <f>COUNTIFS(Продажи!$B$2:$B$1002, $A9, Продажи!$E$2:$E$1002, "&lt;=" &amp; U$2, Продажи!$F$2:$F$1002, "&gt;" &amp; U$2)</f>
        <v>0</v>
      </c>
      <c r="V9" s="67">
        <f>COUNTIFS(Продажи!$B$2:$B$1002, $A9, Продажи!$E$2:$E$1002, "&lt;=" &amp; V$2, Продажи!$F$2:$F$1002, "&gt;" &amp; V$2)</f>
        <v>0</v>
      </c>
      <c r="W9" s="67">
        <f>COUNTIFS(Продажи!$B$2:$B$1002, $A9, Продажи!$E$2:$E$1002, "&lt;=" &amp; W$2, Продажи!$F$2:$F$1002, "&gt;" &amp; W$2)</f>
        <v>0</v>
      </c>
      <c r="X9" s="67">
        <f>COUNTIFS(Продажи!$B$2:$B$1002, $A9, Продажи!$E$2:$E$1002, "&lt;=" &amp; X$2, Продажи!$F$2:$F$1002, "&gt;" &amp; X$2)</f>
        <v>0</v>
      </c>
      <c r="Y9" s="67">
        <f>COUNTIFS(Продажи!$B$2:$B$1002, $A9, Продажи!$E$2:$E$1002, "&lt;=" &amp; Y$2, Продажи!$F$2:$F$1002, "&gt;" &amp; Y$2)</f>
        <v>0</v>
      </c>
      <c r="Z9" s="67">
        <f>COUNTIFS(Продажи!$B$2:$B$1002, $A9, Продажи!$E$2:$E$1002, "&lt;=" &amp; Z$2, Продажи!$F$2:$F$1002, "&gt;" &amp; Z$2)</f>
        <v>0</v>
      </c>
      <c r="AA9" s="67">
        <f>COUNTIFS(Продажи!$B$2:$B$1002, $A9, Продажи!$E$2:$E$1002, "&lt;=" &amp; AA$2, Продажи!$F$2:$F$1002, "&gt;" &amp; AA$2)</f>
        <v>0</v>
      </c>
      <c r="AB9" s="67">
        <f>COUNTIFS(Продажи!$B$2:$B$1002, $A9, Продажи!$E$2:$E$1002, "&lt;=" &amp; AB$2, Продажи!$F$2:$F$1002, "&gt;" &amp; AB$2)</f>
        <v>0</v>
      </c>
      <c r="AC9" s="67">
        <f>COUNTIFS(Продажи!$B$2:$B$1002, $A9, Продажи!$E$2:$E$1002, "&lt;=" &amp; AC$2, Продажи!$F$2:$F$1002, "&gt;" &amp; AC$2)</f>
        <v>0</v>
      </c>
      <c r="AD9" s="67">
        <f>COUNTIFS(Продажи!$B$2:$B$1002, $A9, Продажи!$E$2:$E$1002, "&lt;=" &amp; AD$2, Продажи!$F$2:$F$1002, "&gt;" &amp; AD$2)</f>
        <v>0</v>
      </c>
      <c r="AE9" s="67">
        <f t="shared" si="0"/>
        <v>15</v>
      </c>
      <c r="AF9" s="64" t="str">
        <f ca="1">IF(SUM(OFFSET($B9,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9" s="98">
        <f>VLOOKUP(A9,ID_купе[],2,0)</f>
        <v>2</v>
      </c>
      <c r="AH9" s="132" t="str">
        <f t="shared" ca="1" si="1"/>
        <v>Занято</v>
      </c>
    </row>
    <row r="10" spans="1:57" x14ac:dyDescent="0.25">
      <c r="A10" s="68">
        <v>8</v>
      </c>
      <c r="B10" s="67">
        <f>COUNTIFS(Продажи!$B$2:$B$1002, $A10, Продажи!$E$2:$E$1002, "&lt;=" &amp; B$2, Продажи!$F$2:$F$1002, "&gt;" &amp; B$2)</f>
        <v>1</v>
      </c>
      <c r="C10" s="67">
        <f>COUNTIFS(Продажи!$B$2:$B$1002, $A10, Продажи!$E$2:$E$1002, "&lt;=" &amp; C$2, Продажи!$F$2:$F$1002, "&gt;" &amp; C$2)</f>
        <v>1</v>
      </c>
      <c r="D10" s="67">
        <f>COUNTIFS(Продажи!$B$2:$B$1002, $A10, Продажи!$E$2:$E$1002, "&lt;=" &amp; D$2, Продажи!$F$2:$F$1002, "&gt;" &amp; D$2)</f>
        <v>1</v>
      </c>
      <c r="E10" s="67">
        <f>COUNTIFS(Продажи!$B$2:$B$1002, $A10, Продажи!$E$2:$E$1002, "&lt;=" &amp; E$2, Продажи!$F$2:$F$1002, "&gt;" &amp; E$2)</f>
        <v>1</v>
      </c>
      <c r="F10" s="67">
        <f>COUNTIFS(Продажи!$B$2:$B$1002, $A10, Продажи!$E$2:$E$1002, "&lt;=" &amp; F$2, Продажи!$F$2:$F$1002, "&gt;" &amp; F$2)</f>
        <v>1</v>
      </c>
      <c r="G10" s="67">
        <f>COUNTIFS(Продажи!$B$2:$B$1002, $A10, Продажи!$E$2:$E$1002, "&lt;=" &amp; G$2, Продажи!$F$2:$F$1002, "&gt;" &amp; G$2)</f>
        <v>1</v>
      </c>
      <c r="H10" s="67">
        <f>COUNTIFS(Продажи!$B$2:$B$1002, $A10, Продажи!$E$2:$E$1002, "&lt;=" &amp; H$2, Продажи!$F$2:$F$1002, "&gt;" &amp; H$2)</f>
        <v>0</v>
      </c>
      <c r="I10" s="67">
        <f>COUNTIFS(Продажи!$B$2:$B$1002, $A10, Продажи!$E$2:$E$1002, "&lt;=" &amp; I$2, Продажи!$F$2:$F$1002, "&gt;" &amp; I$2)</f>
        <v>0</v>
      </c>
      <c r="J10" s="67">
        <f>COUNTIFS(Продажи!$B$2:$B$1002, $A10, Продажи!$E$2:$E$1002, "&lt;=" &amp; J$2, Продажи!$F$2:$F$1002, "&gt;" &amp; J$2)</f>
        <v>0</v>
      </c>
      <c r="K10" s="67">
        <f>COUNTIFS(Продажи!$B$2:$B$1002, $A10, Продажи!$E$2:$E$1002, "&lt;=" &amp; K$2, Продажи!$F$2:$F$1002, "&gt;" &amp; K$2)</f>
        <v>0</v>
      </c>
      <c r="L10" s="67">
        <f>COUNTIFS(Продажи!$B$2:$B$1002, $A10, Продажи!$E$2:$E$1002, "&lt;=" &amp; L$2, Продажи!$F$2:$F$1002, "&gt;" &amp; L$2)</f>
        <v>0</v>
      </c>
      <c r="M10" s="67">
        <f>COUNTIFS(Продажи!$B$2:$B$1002, $A10, Продажи!$E$2:$E$1002, "&lt;=" &amp; M$2, Продажи!$F$2:$F$1002, "&gt;" &amp; M$2)</f>
        <v>0</v>
      </c>
      <c r="N10" s="67">
        <f>COUNTIFS(Продажи!$B$2:$B$1002, $A10, Продажи!$E$2:$E$1002, "&lt;=" &amp; N$2, Продажи!$F$2:$F$1002, "&gt;" &amp; N$2)</f>
        <v>0</v>
      </c>
      <c r="O10" s="67">
        <f>COUNTIFS(Продажи!$B$2:$B$1002, $A10, Продажи!$E$2:$E$1002, "&lt;=" &amp; O$2, Продажи!$F$2:$F$1002, "&gt;" &amp; O$2)</f>
        <v>0</v>
      </c>
      <c r="P10" s="67">
        <f>COUNTIFS(Продажи!$B$2:$B$1002, $A10, Продажи!$E$2:$E$1002, "&lt;=" &amp; P$2, Продажи!$F$2:$F$1002, "&gt;" &amp; P$2)</f>
        <v>0</v>
      </c>
      <c r="Q10" s="67">
        <f>COUNTIFS(Продажи!$B$2:$B$1002, $A10, Продажи!$E$2:$E$1002, "&lt;=" &amp; Q$2, Продажи!$F$2:$F$1002, "&gt;" &amp; Q$2)</f>
        <v>0</v>
      </c>
      <c r="R10" s="67">
        <f>COUNTIFS(Продажи!$B$2:$B$1002, $A10, Продажи!$E$2:$E$1002, "&lt;=" &amp; R$2, Продажи!$F$2:$F$1002, "&gt;" &amp; R$2)</f>
        <v>0</v>
      </c>
      <c r="S10" s="67">
        <f>COUNTIFS(Продажи!$B$2:$B$1002, $A10, Продажи!$E$2:$E$1002, "&lt;=" &amp; S$2, Продажи!$F$2:$F$1002, "&gt;" &amp; S$2)</f>
        <v>0</v>
      </c>
      <c r="T10" s="67">
        <f>COUNTIFS(Продажи!$B$2:$B$1002, $A10, Продажи!$E$2:$E$1002, "&lt;=" &amp; T$2, Продажи!$F$2:$F$1002, "&gt;" &amp; T$2)</f>
        <v>0</v>
      </c>
      <c r="U10" s="67">
        <f>COUNTIFS(Продажи!$B$2:$B$1002, $A10, Продажи!$E$2:$E$1002, "&lt;=" &amp; U$2, Продажи!$F$2:$F$1002, "&gt;" &amp; U$2)</f>
        <v>0</v>
      </c>
      <c r="V10" s="67">
        <f>COUNTIFS(Продажи!$B$2:$B$1002, $A10, Продажи!$E$2:$E$1002, "&lt;=" &amp; V$2, Продажи!$F$2:$F$1002, "&gt;" &amp; V$2)</f>
        <v>0</v>
      </c>
      <c r="W10" s="67">
        <f>COUNTIFS(Продажи!$B$2:$B$1002, $A10, Продажи!$E$2:$E$1002, "&lt;=" &amp; W$2, Продажи!$F$2:$F$1002, "&gt;" &amp; W$2)</f>
        <v>0</v>
      </c>
      <c r="X10" s="67">
        <f>COUNTIFS(Продажи!$B$2:$B$1002, $A10, Продажи!$E$2:$E$1002, "&lt;=" &amp; X$2, Продажи!$F$2:$F$1002, "&gt;" &amp; X$2)</f>
        <v>0</v>
      </c>
      <c r="Y10" s="67">
        <f>COUNTIFS(Продажи!$B$2:$B$1002, $A10, Продажи!$E$2:$E$1002, "&lt;=" &amp; Y$2, Продажи!$F$2:$F$1002, "&gt;" &amp; Y$2)</f>
        <v>0</v>
      </c>
      <c r="Z10" s="67">
        <f>COUNTIFS(Продажи!$B$2:$B$1002, $A10, Продажи!$E$2:$E$1002, "&lt;=" &amp; Z$2, Продажи!$F$2:$F$1002, "&gt;" &amp; Z$2)</f>
        <v>0</v>
      </c>
      <c r="AA10" s="67">
        <f>COUNTIFS(Продажи!$B$2:$B$1002, $A10, Продажи!$E$2:$E$1002, "&lt;=" &amp; AA$2, Продажи!$F$2:$F$1002, "&gt;" &amp; AA$2)</f>
        <v>0</v>
      </c>
      <c r="AB10" s="67">
        <f>COUNTIFS(Продажи!$B$2:$B$1002, $A10, Продажи!$E$2:$E$1002, "&lt;=" &amp; AB$2, Продажи!$F$2:$F$1002, "&gt;" &amp; AB$2)</f>
        <v>0</v>
      </c>
      <c r="AC10" s="67">
        <f>COUNTIFS(Продажи!$B$2:$B$1002, $A10, Продажи!$E$2:$E$1002, "&lt;=" &amp; AC$2, Продажи!$F$2:$F$1002, "&gt;" &amp; AC$2)</f>
        <v>0</v>
      </c>
      <c r="AD10" s="67">
        <f>COUNTIFS(Продажи!$B$2:$B$1002, $A10, Продажи!$E$2:$E$1002, "&lt;=" &amp; AD$2, Продажи!$F$2:$F$1002, "&gt;" &amp; AD$2)</f>
        <v>0</v>
      </c>
      <c r="AE10" s="67">
        <f t="shared" si="0"/>
        <v>6</v>
      </c>
      <c r="AF10" s="64" t="str">
        <f ca="1">IF(SUM(OFFSET($B10,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10" s="98">
        <f>VLOOKUP(A10,ID_купе[],2,0)</f>
        <v>2</v>
      </c>
      <c r="AH10" s="132" t="str">
        <f t="shared" ca="1" si="1"/>
        <v>Занято</v>
      </c>
    </row>
    <row r="11" spans="1:57" x14ac:dyDescent="0.25">
      <c r="A11" s="68">
        <v>9</v>
      </c>
      <c r="B11" s="67">
        <f>COUNTIFS(Продажи!$B$2:$B$1002, $A11, Продажи!$E$2:$E$1002, "&lt;=" &amp; B$2, Продажи!$F$2:$F$1002, "&gt;" &amp; B$2)</f>
        <v>1</v>
      </c>
      <c r="C11" s="67">
        <f>COUNTIFS(Продажи!$B$2:$B$1002, $A11, Продажи!$E$2:$E$1002, "&lt;=" &amp; C$2, Продажи!$F$2:$F$1002, "&gt;" &amp; C$2)</f>
        <v>1</v>
      </c>
      <c r="D11" s="67">
        <f>COUNTIFS(Продажи!$B$2:$B$1002, $A11, Продажи!$E$2:$E$1002, "&lt;=" &amp; D$2, Продажи!$F$2:$F$1002, "&gt;" &amp; D$2)</f>
        <v>1</v>
      </c>
      <c r="E11" s="67">
        <f>COUNTIFS(Продажи!$B$2:$B$1002, $A11, Продажи!$E$2:$E$1002, "&lt;=" &amp; E$2, Продажи!$F$2:$F$1002, "&gt;" &amp; E$2)</f>
        <v>1</v>
      </c>
      <c r="F11" s="67">
        <f>COUNTIFS(Продажи!$B$2:$B$1002, $A11, Продажи!$E$2:$E$1002, "&lt;=" &amp; F$2, Продажи!$F$2:$F$1002, "&gt;" &amp; F$2)</f>
        <v>1</v>
      </c>
      <c r="G11" s="67">
        <f>COUNTIFS(Продажи!$B$2:$B$1002, $A11, Продажи!$E$2:$E$1002, "&lt;=" &amp; G$2, Продажи!$F$2:$F$1002, "&gt;" &amp; G$2)</f>
        <v>0</v>
      </c>
      <c r="H11" s="67">
        <f>COUNTIFS(Продажи!$B$2:$B$1002, $A11, Продажи!$E$2:$E$1002, "&lt;=" &amp; H$2, Продажи!$F$2:$F$1002, "&gt;" &amp; H$2)</f>
        <v>0</v>
      </c>
      <c r="I11" s="67">
        <f>COUNTIFS(Продажи!$B$2:$B$1002, $A11, Продажи!$E$2:$E$1002, "&lt;=" &amp; I$2, Продажи!$F$2:$F$1002, "&gt;" &amp; I$2)</f>
        <v>0</v>
      </c>
      <c r="J11" s="67">
        <f>COUNTIFS(Продажи!$B$2:$B$1002, $A11, Продажи!$E$2:$E$1002, "&lt;=" &amp; J$2, Продажи!$F$2:$F$1002, "&gt;" &amp; J$2)</f>
        <v>0</v>
      </c>
      <c r="K11" s="67">
        <f>COUNTIFS(Продажи!$B$2:$B$1002, $A11, Продажи!$E$2:$E$1002, "&lt;=" &amp; K$2, Продажи!$F$2:$F$1002, "&gt;" &amp; K$2)</f>
        <v>0</v>
      </c>
      <c r="L11" s="67">
        <f>COUNTIFS(Продажи!$B$2:$B$1002, $A11, Продажи!$E$2:$E$1002, "&lt;=" &amp; L$2, Продажи!$F$2:$F$1002, "&gt;" &amp; L$2)</f>
        <v>0</v>
      </c>
      <c r="M11" s="67">
        <f>COUNTIFS(Продажи!$B$2:$B$1002, $A11, Продажи!$E$2:$E$1002, "&lt;=" &amp; M$2, Продажи!$F$2:$F$1002, "&gt;" &amp; M$2)</f>
        <v>0</v>
      </c>
      <c r="N11" s="67">
        <f>COUNTIFS(Продажи!$B$2:$B$1002, $A11, Продажи!$E$2:$E$1002, "&lt;=" &amp; N$2, Продажи!$F$2:$F$1002, "&gt;" &amp; N$2)</f>
        <v>0</v>
      </c>
      <c r="O11" s="67">
        <f>COUNTIFS(Продажи!$B$2:$B$1002, $A11, Продажи!$E$2:$E$1002, "&lt;=" &amp; O$2, Продажи!$F$2:$F$1002, "&gt;" &amp; O$2)</f>
        <v>0</v>
      </c>
      <c r="P11" s="67">
        <f>COUNTIFS(Продажи!$B$2:$B$1002, $A11, Продажи!$E$2:$E$1002, "&lt;=" &amp; P$2, Продажи!$F$2:$F$1002, "&gt;" &amp; P$2)</f>
        <v>0</v>
      </c>
      <c r="Q11" s="67">
        <f>COUNTIFS(Продажи!$B$2:$B$1002, $A11, Продажи!$E$2:$E$1002, "&lt;=" &amp; Q$2, Продажи!$F$2:$F$1002, "&gt;" &amp; Q$2)</f>
        <v>0</v>
      </c>
      <c r="R11" s="67">
        <f>COUNTIFS(Продажи!$B$2:$B$1002, $A11, Продажи!$E$2:$E$1002, "&lt;=" &amp; R$2, Продажи!$F$2:$F$1002, "&gt;" &amp; R$2)</f>
        <v>0</v>
      </c>
      <c r="S11" s="67">
        <f>COUNTIFS(Продажи!$B$2:$B$1002, $A11, Продажи!$E$2:$E$1002, "&lt;=" &amp; S$2, Продажи!$F$2:$F$1002, "&gt;" &amp; S$2)</f>
        <v>0</v>
      </c>
      <c r="T11" s="67">
        <f>COUNTIFS(Продажи!$B$2:$B$1002, $A11, Продажи!$E$2:$E$1002, "&lt;=" &amp; T$2, Продажи!$F$2:$F$1002, "&gt;" &amp; T$2)</f>
        <v>0</v>
      </c>
      <c r="U11" s="67">
        <f>COUNTIFS(Продажи!$B$2:$B$1002, $A11, Продажи!$E$2:$E$1002, "&lt;=" &amp; U$2, Продажи!$F$2:$F$1002, "&gt;" &amp; U$2)</f>
        <v>0</v>
      </c>
      <c r="V11" s="67">
        <f>COUNTIFS(Продажи!$B$2:$B$1002, $A11, Продажи!$E$2:$E$1002, "&lt;=" &amp; V$2, Продажи!$F$2:$F$1002, "&gt;" &amp; V$2)</f>
        <v>0</v>
      </c>
      <c r="W11" s="67">
        <f>COUNTIFS(Продажи!$B$2:$B$1002, $A11, Продажи!$E$2:$E$1002, "&lt;=" &amp; W$2, Продажи!$F$2:$F$1002, "&gt;" &amp; W$2)</f>
        <v>0</v>
      </c>
      <c r="X11" s="67">
        <f>COUNTIFS(Продажи!$B$2:$B$1002, $A11, Продажи!$E$2:$E$1002, "&lt;=" &amp; X$2, Продажи!$F$2:$F$1002, "&gt;" &amp; X$2)</f>
        <v>0</v>
      </c>
      <c r="Y11" s="67">
        <f>COUNTIFS(Продажи!$B$2:$B$1002, $A11, Продажи!$E$2:$E$1002, "&lt;=" &amp; Y$2, Продажи!$F$2:$F$1002, "&gt;" &amp; Y$2)</f>
        <v>0</v>
      </c>
      <c r="Z11" s="67">
        <f>COUNTIFS(Продажи!$B$2:$B$1002, $A11, Продажи!$E$2:$E$1002, "&lt;=" &amp; Z$2, Продажи!$F$2:$F$1002, "&gt;" &amp; Z$2)</f>
        <v>0</v>
      </c>
      <c r="AA11" s="67">
        <f>COUNTIFS(Продажи!$B$2:$B$1002, $A11, Продажи!$E$2:$E$1002, "&lt;=" &amp; AA$2, Продажи!$F$2:$F$1002, "&gt;" &amp; AA$2)</f>
        <v>0</v>
      </c>
      <c r="AB11" s="67">
        <f>COUNTIFS(Продажи!$B$2:$B$1002, $A11, Продажи!$E$2:$E$1002, "&lt;=" &amp; AB$2, Продажи!$F$2:$F$1002, "&gt;" &amp; AB$2)</f>
        <v>0</v>
      </c>
      <c r="AC11" s="67">
        <f>COUNTIFS(Продажи!$B$2:$B$1002, $A11, Продажи!$E$2:$E$1002, "&lt;=" &amp; AC$2, Продажи!$F$2:$F$1002, "&gt;" &amp; AC$2)</f>
        <v>0</v>
      </c>
      <c r="AD11" s="67">
        <f>COUNTIFS(Продажи!$B$2:$B$1002, $A11, Продажи!$E$2:$E$1002, "&lt;=" &amp; AD$2, Продажи!$F$2:$F$1002, "&gt;" &amp; AD$2)</f>
        <v>0</v>
      </c>
      <c r="AE11" s="67">
        <f t="shared" si="0"/>
        <v>5</v>
      </c>
      <c r="AF11" s="64" t="str">
        <f ca="1">IF(SUM(OFFSET($B11,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11" s="98">
        <f>VLOOKUP(A11,ID_купе[],2,0)</f>
        <v>3</v>
      </c>
      <c r="AH11" s="132" t="str">
        <f t="shared" ca="1" si="1"/>
        <v>Занято</v>
      </c>
    </row>
    <row r="12" spans="1:57" x14ac:dyDescent="0.25">
      <c r="A12" s="68">
        <v>10</v>
      </c>
      <c r="B12" s="67">
        <f>COUNTIFS(Продажи!$B$2:$B$1002, $A12, Продажи!$E$2:$E$1002, "&lt;=" &amp; B$2, Продажи!$F$2:$F$1002, "&gt;" &amp; B$2)</f>
        <v>1</v>
      </c>
      <c r="C12" s="67">
        <f>COUNTIFS(Продажи!$B$2:$B$1002, $A12, Продажи!$E$2:$E$1002, "&lt;=" &amp; C$2, Продажи!$F$2:$F$1002, "&gt;" &amp; C$2)</f>
        <v>1</v>
      </c>
      <c r="D12" s="67">
        <f>COUNTIFS(Продажи!$B$2:$B$1002, $A12, Продажи!$E$2:$E$1002, "&lt;=" &amp; D$2, Продажи!$F$2:$F$1002, "&gt;" &amp; D$2)</f>
        <v>1</v>
      </c>
      <c r="E12" s="67">
        <f>COUNTIFS(Продажи!$B$2:$B$1002, $A12, Продажи!$E$2:$E$1002, "&lt;=" &amp; E$2, Продажи!$F$2:$F$1002, "&gt;" &amp; E$2)</f>
        <v>1</v>
      </c>
      <c r="F12" s="67">
        <f>COUNTIFS(Продажи!$B$2:$B$1002, $A12, Продажи!$E$2:$E$1002, "&lt;=" &amp; F$2, Продажи!$F$2:$F$1002, "&gt;" &amp; F$2)</f>
        <v>1</v>
      </c>
      <c r="G12" s="67">
        <f>COUNTIFS(Продажи!$B$2:$B$1002, $A12, Продажи!$E$2:$E$1002, "&lt;=" &amp; G$2, Продажи!$F$2:$F$1002, "&gt;" &amp; G$2)</f>
        <v>1</v>
      </c>
      <c r="H12" s="67">
        <f>COUNTIFS(Продажи!$B$2:$B$1002, $A12, Продажи!$E$2:$E$1002, "&lt;=" &amp; H$2, Продажи!$F$2:$F$1002, "&gt;" &amp; H$2)</f>
        <v>1</v>
      </c>
      <c r="I12" s="67">
        <f>COUNTIFS(Продажи!$B$2:$B$1002, $A12, Продажи!$E$2:$E$1002, "&lt;=" &amp; I$2, Продажи!$F$2:$F$1002, "&gt;" &amp; I$2)</f>
        <v>1</v>
      </c>
      <c r="J12" s="67">
        <f>COUNTIFS(Продажи!$B$2:$B$1002, $A12, Продажи!$E$2:$E$1002, "&lt;=" &amp; J$2, Продажи!$F$2:$F$1002, "&gt;" &amp; J$2)</f>
        <v>1</v>
      </c>
      <c r="K12" s="67">
        <f>COUNTIFS(Продажи!$B$2:$B$1002, $A12, Продажи!$E$2:$E$1002, "&lt;=" &amp; K$2, Продажи!$F$2:$F$1002, "&gt;" &amp; K$2)</f>
        <v>1</v>
      </c>
      <c r="L12" s="67">
        <f>COUNTIFS(Продажи!$B$2:$B$1002, $A12, Продажи!$E$2:$E$1002, "&lt;=" &amp; L$2, Продажи!$F$2:$F$1002, "&gt;" &amp; L$2)</f>
        <v>1</v>
      </c>
      <c r="M12" s="67">
        <f>COUNTIFS(Продажи!$B$2:$B$1002, $A12, Продажи!$E$2:$E$1002, "&lt;=" &amp; M$2, Продажи!$F$2:$F$1002, "&gt;" &amp; M$2)</f>
        <v>1</v>
      </c>
      <c r="N12" s="67">
        <f>COUNTIFS(Продажи!$B$2:$B$1002, $A12, Продажи!$E$2:$E$1002, "&lt;=" &amp; N$2, Продажи!$F$2:$F$1002, "&gt;" &amp; N$2)</f>
        <v>1</v>
      </c>
      <c r="O12" s="67">
        <f>COUNTIFS(Продажи!$B$2:$B$1002, $A12, Продажи!$E$2:$E$1002, "&lt;=" &amp; O$2, Продажи!$F$2:$F$1002, "&gt;" &amp; O$2)</f>
        <v>1</v>
      </c>
      <c r="P12" s="67">
        <f>COUNTIFS(Продажи!$B$2:$B$1002, $A12, Продажи!$E$2:$E$1002, "&lt;=" &amp; P$2, Продажи!$F$2:$F$1002, "&gt;" &amp; P$2)</f>
        <v>1</v>
      </c>
      <c r="Q12" s="67">
        <f>COUNTIFS(Продажи!$B$2:$B$1002, $A12, Продажи!$E$2:$E$1002, "&lt;=" &amp; Q$2, Продажи!$F$2:$F$1002, "&gt;" &amp; Q$2)</f>
        <v>1</v>
      </c>
      <c r="R12" s="67">
        <f>COUNTIFS(Продажи!$B$2:$B$1002, $A12, Продажи!$E$2:$E$1002, "&lt;=" &amp; R$2, Продажи!$F$2:$F$1002, "&gt;" &amp; R$2)</f>
        <v>1</v>
      </c>
      <c r="S12" s="67">
        <f>COUNTIFS(Продажи!$B$2:$B$1002, $A12, Продажи!$E$2:$E$1002, "&lt;=" &amp; S$2, Продажи!$F$2:$F$1002, "&gt;" &amp; S$2)</f>
        <v>1</v>
      </c>
      <c r="T12" s="67">
        <f>COUNTIFS(Продажи!$B$2:$B$1002, $A12, Продажи!$E$2:$E$1002, "&lt;=" &amp; T$2, Продажи!$F$2:$F$1002, "&gt;" &amp; T$2)</f>
        <v>1</v>
      </c>
      <c r="U12" s="67">
        <f>COUNTIFS(Продажи!$B$2:$B$1002, $A12, Продажи!$E$2:$E$1002, "&lt;=" &amp; U$2, Продажи!$F$2:$F$1002, "&gt;" &amp; U$2)</f>
        <v>1</v>
      </c>
      <c r="V12" s="67">
        <f>COUNTIFS(Продажи!$B$2:$B$1002, $A12, Продажи!$E$2:$E$1002, "&lt;=" &amp; V$2, Продажи!$F$2:$F$1002, "&gt;" &amp; V$2)</f>
        <v>1</v>
      </c>
      <c r="W12" s="67">
        <f>COUNTIFS(Продажи!$B$2:$B$1002, $A12, Продажи!$E$2:$E$1002, "&lt;=" &amp; W$2, Продажи!$F$2:$F$1002, "&gt;" &amp; W$2)</f>
        <v>1</v>
      </c>
      <c r="X12" s="67">
        <f>COUNTIFS(Продажи!$B$2:$B$1002, $A12, Продажи!$E$2:$E$1002, "&lt;=" &amp; X$2, Продажи!$F$2:$F$1002, "&gt;" &amp; X$2)</f>
        <v>1</v>
      </c>
      <c r="Y12" s="67">
        <f>COUNTIFS(Продажи!$B$2:$B$1002, $A12, Продажи!$E$2:$E$1002, "&lt;=" &amp; Y$2, Продажи!$F$2:$F$1002, "&gt;" &amp; Y$2)</f>
        <v>1</v>
      </c>
      <c r="Z12" s="67">
        <f>COUNTIFS(Продажи!$B$2:$B$1002, $A12, Продажи!$E$2:$E$1002, "&lt;=" &amp; Z$2, Продажи!$F$2:$F$1002, "&gt;" &amp; Z$2)</f>
        <v>1</v>
      </c>
      <c r="AA12" s="67">
        <f>COUNTIFS(Продажи!$B$2:$B$1002, $A12, Продажи!$E$2:$E$1002, "&lt;=" &amp; AA$2, Продажи!$F$2:$F$1002, "&gt;" &amp; AA$2)</f>
        <v>1</v>
      </c>
      <c r="AB12" s="67">
        <f>COUNTIFS(Продажи!$B$2:$B$1002, $A12, Продажи!$E$2:$E$1002, "&lt;=" &amp; AB$2, Продажи!$F$2:$F$1002, "&gt;" &amp; AB$2)</f>
        <v>1</v>
      </c>
      <c r="AC12" s="67">
        <f>COUNTIFS(Продажи!$B$2:$B$1002, $A12, Продажи!$E$2:$E$1002, "&lt;=" &amp; AC$2, Продажи!$F$2:$F$1002, "&gt;" &amp; AC$2)</f>
        <v>1</v>
      </c>
      <c r="AD12" s="67">
        <f>COUNTIFS(Продажи!$B$2:$B$1002, $A12, Продажи!$E$2:$E$1002, "&lt;=" &amp; AD$2, Продажи!$F$2:$F$1002, "&gt;" &amp; AD$2)</f>
        <v>1</v>
      </c>
      <c r="AE12" s="67">
        <f t="shared" si="0"/>
        <v>29</v>
      </c>
      <c r="AF12" s="64" t="str">
        <f ca="1">IF(SUM(OFFSET($B12,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12" s="98">
        <f>VLOOKUP(A12,ID_купе[],2,0)</f>
        <v>3</v>
      </c>
      <c r="AH12" s="132" t="str">
        <f t="shared" ca="1" si="1"/>
        <v>Занято</v>
      </c>
    </row>
    <row r="13" spans="1:57" x14ac:dyDescent="0.25">
      <c r="A13" s="68">
        <v>11</v>
      </c>
      <c r="B13" s="67">
        <f>COUNTIFS(Продажи!$B$2:$B$1002, $A13, Продажи!$E$2:$E$1002, "&lt;=" &amp; B$2, Продажи!$F$2:$F$1002, "&gt;" &amp; B$2)</f>
        <v>1</v>
      </c>
      <c r="C13" s="67">
        <f>COUNTIFS(Продажи!$B$2:$B$1002, $A13, Продажи!$E$2:$E$1002, "&lt;=" &amp; C$2, Продажи!$F$2:$F$1002, "&gt;" &amp; C$2)</f>
        <v>1</v>
      </c>
      <c r="D13" s="67">
        <f>COUNTIFS(Продажи!$B$2:$B$1002, $A13, Продажи!$E$2:$E$1002, "&lt;=" &amp; D$2, Продажи!$F$2:$F$1002, "&gt;" &amp; D$2)</f>
        <v>1</v>
      </c>
      <c r="E13" s="67">
        <f>COUNTIFS(Продажи!$B$2:$B$1002, $A13, Продажи!$E$2:$E$1002, "&lt;=" &amp; E$2, Продажи!$F$2:$F$1002, "&gt;" &amp; E$2)</f>
        <v>1</v>
      </c>
      <c r="F13" s="67">
        <f>COUNTIFS(Продажи!$B$2:$B$1002, $A13, Продажи!$E$2:$E$1002, "&lt;=" &amp; F$2, Продажи!$F$2:$F$1002, "&gt;" &amp; F$2)</f>
        <v>1</v>
      </c>
      <c r="G13" s="67">
        <f>COUNTIFS(Продажи!$B$2:$B$1002, $A13, Продажи!$E$2:$E$1002, "&lt;=" &amp; G$2, Продажи!$F$2:$F$1002, "&gt;" &amp; G$2)</f>
        <v>1</v>
      </c>
      <c r="H13" s="67">
        <f>COUNTIFS(Продажи!$B$2:$B$1002, $A13, Продажи!$E$2:$E$1002, "&lt;=" &amp; H$2, Продажи!$F$2:$F$1002, "&gt;" &amp; H$2)</f>
        <v>1</v>
      </c>
      <c r="I13" s="67">
        <f>COUNTIFS(Продажи!$B$2:$B$1002, $A13, Продажи!$E$2:$E$1002, "&lt;=" &amp; I$2, Продажи!$F$2:$F$1002, "&gt;" &amp; I$2)</f>
        <v>1</v>
      </c>
      <c r="J13" s="67">
        <f>COUNTIFS(Продажи!$B$2:$B$1002, $A13, Продажи!$E$2:$E$1002, "&lt;=" &amp; J$2, Продажи!$F$2:$F$1002, "&gt;" &amp; J$2)</f>
        <v>1</v>
      </c>
      <c r="K13" s="67">
        <f>COUNTIFS(Продажи!$B$2:$B$1002, $A13, Продажи!$E$2:$E$1002, "&lt;=" &amp; K$2, Продажи!$F$2:$F$1002, "&gt;" &amp; K$2)</f>
        <v>1</v>
      </c>
      <c r="L13" s="67">
        <f>COUNTIFS(Продажи!$B$2:$B$1002, $A13, Продажи!$E$2:$E$1002, "&lt;=" &amp; L$2, Продажи!$F$2:$F$1002, "&gt;" &amp; L$2)</f>
        <v>1</v>
      </c>
      <c r="M13" s="67">
        <f>COUNTIFS(Продажи!$B$2:$B$1002, $A13, Продажи!$E$2:$E$1002, "&lt;=" &amp; M$2, Продажи!$F$2:$F$1002, "&gt;" &amp; M$2)</f>
        <v>1</v>
      </c>
      <c r="N13" s="67">
        <f>COUNTIFS(Продажи!$B$2:$B$1002, $A13, Продажи!$E$2:$E$1002, "&lt;=" &amp; N$2, Продажи!$F$2:$F$1002, "&gt;" &amp; N$2)</f>
        <v>1</v>
      </c>
      <c r="O13" s="67">
        <f>COUNTIFS(Продажи!$B$2:$B$1002, $A13, Продажи!$E$2:$E$1002, "&lt;=" &amp; O$2, Продажи!$F$2:$F$1002, "&gt;" &amp; O$2)</f>
        <v>1</v>
      </c>
      <c r="P13" s="67">
        <f>COUNTIFS(Продажи!$B$2:$B$1002, $A13, Продажи!$E$2:$E$1002, "&lt;=" &amp; P$2, Продажи!$F$2:$F$1002, "&gt;" &amp; P$2)</f>
        <v>1</v>
      </c>
      <c r="Q13" s="67">
        <f>COUNTIFS(Продажи!$B$2:$B$1002, $A13, Продажи!$E$2:$E$1002, "&lt;=" &amp; Q$2, Продажи!$F$2:$F$1002, "&gt;" &amp; Q$2)</f>
        <v>1</v>
      </c>
      <c r="R13" s="67">
        <f>COUNTIFS(Продажи!$B$2:$B$1002, $A13, Продажи!$E$2:$E$1002, "&lt;=" &amp; R$2, Продажи!$F$2:$F$1002, "&gt;" &amp; R$2)</f>
        <v>1</v>
      </c>
      <c r="S13" s="67">
        <f>COUNTIFS(Продажи!$B$2:$B$1002, $A13, Продажи!$E$2:$E$1002, "&lt;=" &amp; S$2, Продажи!$F$2:$F$1002, "&gt;" &amp; S$2)</f>
        <v>1</v>
      </c>
      <c r="T13" s="67">
        <f>COUNTIFS(Продажи!$B$2:$B$1002, $A13, Продажи!$E$2:$E$1002, "&lt;=" &amp; T$2, Продажи!$F$2:$F$1002, "&gt;" &amp; T$2)</f>
        <v>1</v>
      </c>
      <c r="U13" s="67">
        <f>COUNTIFS(Продажи!$B$2:$B$1002, $A13, Продажи!$E$2:$E$1002, "&lt;=" &amp; U$2, Продажи!$F$2:$F$1002, "&gt;" &amp; U$2)</f>
        <v>1</v>
      </c>
      <c r="V13" s="67">
        <f>COUNTIFS(Продажи!$B$2:$B$1002, $A13, Продажи!$E$2:$E$1002, "&lt;=" &amp; V$2, Продажи!$F$2:$F$1002, "&gt;" &amp; V$2)</f>
        <v>1</v>
      </c>
      <c r="W13" s="67">
        <f>COUNTIFS(Продажи!$B$2:$B$1002, $A13, Продажи!$E$2:$E$1002, "&lt;=" &amp; W$2, Продажи!$F$2:$F$1002, "&gt;" &amp; W$2)</f>
        <v>1</v>
      </c>
      <c r="X13" s="67">
        <f>COUNTIFS(Продажи!$B$2:$B$1002, $A13, Продажи!$E$2:$E$1002, "&lt;=" &amp; X$2, Продажи!$F$2:$F$1002, "&gt;" &amp; X$2)</f>
        <v>1</v>
      </c>
      <c r="Y13" s="67">
        <f>COUNTIFS(Продажи!$B$2:$B$1002, $A13, Продажи!$E$2:$E$1002, "&lt;=" &amp; Y$2, Продажи!$F$2:$F$1002, "&gt;" &amp; Y$2)</f>
        <v>1</v>
      </c>
      <c r="Z13" s="67">
        <f>COUNTIFS(Продажи!$B$2:$B$1002, $A13, Продажи!$E$2:$E$1002, "&lt;=" &amp; Z$2, Продажи!$F$2:$F$1002, "&gt;" &amp; Z$2)</f>
        <v>1</v>
      </c>
      <c r="AA13" s="67">
        <f>COUNTIFS(Продажи!$B$2:$B$1002, $A13, Продажи!$E$2:$E$1002, "&lt;=" &amp; AA$2, Продажи!$F$2:$F$1002, "&gt;" &amp; AA$2)</f>
        <v>1</v>
      </c>
      <c r="AB13" s="67">
        <f>COUNTIFS(Продажи!$B$2:$B$1002, $A13, Продажи!$E$2:$E$1002, "&lt;=" &amp; AB$2, Продажи!$F$2:$F$1002, "&gt;" &amp; AB$2)</f>
        <v>1</v>
      </c>
      <c r="AC13" s="67">
        <f>COUNTIFS(Продажи!$B$2:$B$1002, $A13, Продажи!$E$2:$E$1002, "&lt;=" &amp; AC$2, Продажи!$F$2:$F$1002, "&gt;" &amp; AC$2)</f>
        <v>1</v>
      </c>
      <c r="AD13" s="67">
        <f>COUNTIFS(Продажи!$B$2:$B$1002, $A13, Продажи!$E$2:$E$1002, "&lt;=" &amp; AD$2, Продажи!$F$2:$F$1002, "&gt;" &amp; AD$2)</f>
        <v>1</v>
      </c>
      <c r="AE13" s="67">
        <f t="shared" si="0"/>
        <v>29</v>
      </c>
      <c r="AF13" s="64" t="str">
        <f ca="1">IF(SUM(OFFSET($B13,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13" s="98">
        <f>VLOOKUP(A13,ID_купе[],2,0)</f>
        <v>3</v>
      </c>
      <c r="AH13" s="132" t="str">
        <f t="shared" ca="1" si="1"/>
        <v>Занято</v>
      </c>
    </row>
    <row r="14" spans="1:57" x14ac:dyDescent="0.25">
      <c r="A14" s="68">
        <v>12</v>
      </c>
      <c r="B14" s="67">
        <f>COUNTIFS(Продажи!$B$2:$B$1002, $A14, Продажи!$E$2:$E$1002, "&lt;=" &amp; B$2, Продажи!$F$2:$F$1002, "&gt;" &amp; B$2)</f>
        <v>1</v>
      </c>
      <c r="C14" s="67">
        <f>COUNTIFS(Продажи!$B$2:$B$1002, $A14, Продажи!$E$2:$E$1002, "&lt;=" &amp; C$2, Продажи!$F$2:$F$1002, "&gt;" &amp; C$2)</f>
        <v>1</v>
      </c>
      <c r="D14" s="67">
        <f>COUNTIFS(Продажи!$B$2:$B$1002, $A14, Продажи!$E$2:$E$1002, "&lt;=" &amp; D$2, Продажи!$F$2:$F$1002, "&gt;" &amp; D$2)</f>
        <v>1</v>
      </c>
      <c r="E14" s="67">
        <f>COUNTIFS(Продажи!$B$2:$B$1002, $A14, Продажи!$E$2:$E$1002, "&lt;=" &amp; E$2, Продажи!$F$2:$F$1002, "&gt;" &amp; E$2)</f>
        <v>1</v>
      </c>
      <c r="F14" s="67">
        <f>COUNTIFS(Продажи!$B$2:$B$1002, $A14, Продажи!$E$2:$E$1002, "&lt;=" &amp; F$2, Продажи!$F$2:$F$1002, "&gt;" &amp; F$2)</f>
        <v>1</v>
      </c>
      <c r="G14" s="67">
        <f>COUNTIFS(Продажи!$B$2:$B$1002, $A14, Продажи!$E$2:$E$1002, "&lt;=" &amp; G$2, Продажи!$F$2:$F$1002, "&gt;" &amp; G$2)</f>
        <v>1</v>
      </c>
      <c r="H14" s="67">
        <f>COUNTIFS(Продажи!$B$2:$B$1002, $A14, Продажи!$E$2:$E$1002, "&lt;=" &amp; H$2, Продажи!$F$2:$F$1002, "&gt;" &amp; H$2)</f>
        <v>1</v>
      </c>
      <c r="I14" s="67">
        <f>COUNTIFS(Продажи!$B$2:$B$1002, $A14, Продажи!$E$2:$E$1002, "&lt;=" &amp; I$2, Продажи!$F$2:$F$1002, "&gt;" &amp; I$2)</f>
        <v>1</v>
      </c>
      <c r="J14" s="67">
        <f>COUNTIFS(Продажи!$B$2:$B$1002, $A14, Продажи!$E$2:$E$1002, "&lt;=" &amp; J$2, Продажи!$F$2:$F$1002, "&gt;" &amp; J$2)</f>
        <v>1</v>
      </c>
      <c r="K14" s="67">
        <f>COUNTIFS(Продажи!$B$2:$B$1002, $A14, Продажи!$E$2:$E$1002, "&lt;=" &amp; K$2, Продажи!$F$2:$F$1002, "&gt;" &amp; K$2)</f>
        <v>1</v>
      </c>
      <c r="L14" s="67">
        <f>COUNTIFS(Продажи!$B$2:$B$1002, $A14, Продажи!$E$2:$E$1002, "&lt;=" &amp; L$2, Продажи!$F$2:$F$1002, "&gt;" &amp; L$2)</f>
        <v>1</v>
      </c>
      <c r="M14" s="67">
        <f>COUNTIFS(Продажи!$B$2:$B$1002, $A14, Продажи!$E$2:$E$1002, "&lt;=" &amp; M$2, Продажи!$F$2:$F$1002, "&gt;" &amp; M$2)</f>
        <v>1</v>
      </c>
      <c r="N14" s="67">
        <f>COUNTIFS(Продажи!$B$2:$B$1002, $A14, Продажи!$E$2:$E$1002, "&lt;=" &amp; N$2, Продажи!$F$2:$F$1002, "&gt;" &amp; N$2)</f>
        <v>1</v>
      </c>
      <c r="O14" s="67">
        <f>COUNTIFS(Продажи!$B$2:$B$1002, $A14, Продажи!$E$2:$E$1002, "&lt;=" &amp; O$2, Продажи!$F$2:$F$1002, "&gt;" &amp; O$2)</f>
        <v>1</v>
      </c>
      <c r="P14" s="67">
        <f>COUNTIFS(Продажи!$B$2:$B$1002, $A14, Продажи!$E$2:$E$1002, "&lt;=" &amp; P$2, Продажи!$F$2:$F$1002, "&gt;" &amp; P$2)</f>
        <v>1</v>
      </c>
      <c r="Q14" s="67">
        <f>COUNTIFS(Продажи!$B$2:$B$1002, $A14, Продажи!$E$2:$E$1002, "&lt;=" &amp; Q$2, Продажи!$F$2:$F$1002, "&gt;" &amp; Q$2)</f>
        <v>1</v>
      </c>
      <c r="R14" s="67">
        <f>COUNTIFS(Продажи!$B$2:$B$1002, $A14, Продажи!$E$2:$E$1002, "&lt;=" &amp; R$2, Продажи!$F$2:$F$1002, "&gt;" &amp; R$2)</f>
        <v>1</v>
      </c>
      <c r="S14" s="67">
        <f>COUNTIFS(Продажи!$B$2:$B$1002, $A14, Продажи!$E$2:$E$1002, "&lt;=" &amp; S$2, Продажи!$F$2:$F$1002, "&gt;" &amp; S$2)</f>
        <v>1</v>
      </c>
      <c r="T14" s="67">
        <f>COUNTIFS(Продажи!$B$2:$B$1002, $A14, Продажи!$E$2:$E$1002, "&lt;=" &amp; T$2, Продажи!$F$2:$F$1002, "&gt;" &amp; T$2)</f>
        <v>1</v>
      </c>
      <c r="U14" s="67">
        <f>COUNTIFS(Продажи!$B$2:$B$1002, $A14, Продажи!$E$2:$E$1002, "&lt;=" &amp; U$2, Продажи!$F$2:$F$1002, "&gt;" &amp; U$2)</f>
        <v>1</v>
      </c>
      <c r="V14" s="67">
        <f>COUNTIFS(Продажи!$B$2:$B$1002, $A14, Продажи!$E$2:$E$1002, "&lt;=" &amp; V$2, Продажи!$F$2:$F$1002, "&gt;" &amp; V$2)</f>
        <v>1</v>
      </c>
      <c r="W14" s="67">
        <f>COUNTIFS(Продажи!$B$2:$B$1002, $A14, Продажи!$E$2:$E$1002, "&lt;=" &amp; W$2, Продажи!$F$2:$F$1002, "&gt;" &amp; W$2)</f>
        <v>1</v>
      </c>
      <c r="X14" s="67">
        <f>COUNTIFS(Продажи!$B$2:$B$1002, $A14, Продажи!$E$2:$E$1002, "&lt;=" &amp; X$2, Продажи!$F$2:$F$1002, "&gt;" &amp; X$2)</f>
        <v>1</v>
      </c>
      <c r="Y14" s="67">
        <f>COUNTIFS(Продажи!$B$2:$B$1002, $A14, Продажи!$E$2:$E$1002, "&lt;=" &amp; Y$2, Продажи!$F$2:$F$1002, "&gt;" &amp; Y$2)</f>
        <v>1</v>
      </c>
      <c r="Z14" s="67">
        <f>COUNTIFS(Продажи!$B$2:$B$1002, $A14, Продажи!$E$2:$E$1002, "&lt;=" &amp; Z$2, Продажи!$F$2:$F$1002, "&gt;" &amp; Z$2)</f>
        <v>1</v>
      </c>
      <c r="AA14" s="67">
        <f>COUNTIFS(Продажи!$B$2:$B$1002, $A14, Продажи!$E$2:$E$1002, "&lt;=" &amp; AA$2, Продажи!$F$2:$F$1002, "&gt;" &amp; AA$2)</f>
        <v>1</v>
      </c>
      <c r="AB14" s="67">
        <f>COUNTIFS(Продажи!$B$2:$B$1002, $A14, Продажи!$E$2:$E$1002, "&lt;=" &amp; AB$2, Продажи!$F$2:$F$1002, "&gt;" &amp; AB$2)</f>
        <v>1</v>
      </c>
      <c r="AC14" s="67">
        <f>COUNTIFS(Продажи!$B$2:$B$1002, $A14, Продажи!$E$2:$E$1002, "&lt;=" &amp; AC$2, Продажи!$F$2:$F$1002, "&gt;" &amp; AC$2)</f>
        <v>1</v>
      </c>
      <c r="AD14" s="67">
        <f>COUNTIFS(Продажи!$B$2:$B$1002, $A14, Продажи!$E$2:$E$1002, "&lt;=" &amp; AD$2, Продажи!$F$2:$F$1002, "&gt;" &amp; AD$2)</f>
        <v>1</v>
      </c>
      <c r="AE14" s="67">
        <f t="shared" si="0"/>
        <v>29</v>
      </c>
      <c r="AF14" s="64" t="str">
        <f ca="1">IF(SUM(OFFSET($B14,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14" s="98">
        <f>VLOOKUP(A14,ID_купе[],2,0)</f>
        <v>3</v>
      </c>
      <c r="AH14" s="132" t="str">
        <f t="shared" ca="1" si="1"/>
        <v>Занято</v>
      </c>
    </row>
    <row r="15" spans="1:57" x14ac:dyDescent="0.25">
      <c r="A15" s="68">
        <v>13</v>
      </c>
      <c r="B15" s="67">
        <f>COUNTIFS(Продажи!$B$2:$B$1002, $A15, Продажи!$E$2:$E$1002, "&lt;=" &amp; B$2, Продажи!$F$2:$F$1002, "&gt;" &amp; B$2)</f>
        <v>0</v>
      </c>
      <c r="C15" s="67">
        <f>COUNTIFS(Продажи!$B$2:$B$1002, $A15, Продажи!$E$2:$E$1002, "&lt;=" &amp; C$2, Продажи!$F$2:$F$1002, "&gt;" &amp; C$2)</f>
        <v>0</v>
      </c>
      <c r="D15" s="67">
        <f>COUNTIFS(Продажи!$B$2:$B$1002, $A15, Продажи!$E$2:$E$1002, "&lt;=" &amp; D$2, Продажи!$F$2:$F$1002, "&gt;" &amp; D$2)</f>
        <v>0</v>
      </c>
      <c r="E15" s="67">
        <f>COUNTIFS(Продажи!$B$2:$B$1002, $A15, Продажи!$E$2:$E$1002, "&lt;=" &amp; E$2, Продажи!$F$2:$F$1002, "&gt;" &amp; E$2)</f>
        <v>0</v>
      </c>
      <c r="F15" s="67">
        <f>COUNTIFS(Продажи!$B$2:$B$1002, $A15, Продажи!$E$2:$E$1002, "&lt;=" &amp; F$2, Продажи!$F$2:$F$1002, "&gt;" &amp; F$2)</f>
        <v>1</v>
      </c>
      <c r="G15" s="67">
        <f>COUNTIFS(Продажи!$B$2:$B$1002, $A15, Продажи!$E$2:$E$1002, "&lt;=" &amp; G$2, Продажи!$F$2:$F$1002, "&gt;" &amp; G$2)</f>
        <v>1</v>
      </c>
      <c r="H15" s="67">
        <f>COUNTIFS(Продажи!$B$2:$B$1002, $A15, Продажи!$E$2:$E$1002, "&lt;=" &amp; H$2, Продажи!$F$2:$F$1002, "&gt;" &amp; H$2)</f>
        <v>1</v>
      </c>
      <c r="I15" s="67">
        <f>COUNTIFS(Продажи!$B$2:$B$1002, $A15, Продажи!$E$2:$E$1002, "&lt;=" &amp; I$2, Продажи!$F$2:$F$1002, "&gt;" &amp; I$2)</f>
        <v>1</v>
      </c>
      <c r="J15" s="67">
        <f>COUNTIFS(Продажи!$B$2:$B$1002, $A15, Продажи!$E$2:$E$1002, "&lt;=" &amp; J$2, Продажи!$F$2:$F$1002, "&gt;" &amp; J$2)</f>
        <v>1</v>
      </c>
      <c r="K15" s="67">
        <f>COUNTIFS(Продажи!$B$2:$B$1002, $A15, Продажи!$E$2:$E$1002, "&lt;=" &amp; K$2, Продажи!$F$2:$F$1002, "&gt;" &amp; K$2)</f>
        <v>1</v>
      </c>
      <c r="L15" s="67">
        <f>COUNTIFS(Продажи!$B$2:$B$1002, $A15, Продажи!$E$2:$E$1002, "&lt;=" &amp; L$2, Продажи!$F$2:$F$1002, "&gt;" &amp; L$2)</f>
        <v>1</v>
      </c>
      <c r="M15" s="67">
        <f>COUNTIFS(Продажи!$B$2:$B$1002, $A15, Продажи!$E$2:$E$1002, "&lt;=" &amp; M$2, Продажи!$F$2:$F$1002, "&gt;" &amp; M$2)</f>
        <v>1</v>
      </c>
      <c r="N15" s="67">
        <f>COUNTIFS(Продажи!$B$2:$B$1002, $A15, Продажи!$E$2:$E$1002, "&lt;=" &amp; N$2, Продажи!$F$2:$F$1002, "&gt;" &amp; N$2)</f>
        <v>1</v>
      </c>
      <c r="O15" s="67">
        <f>COUNTIFS(Продажи!$B$2:$B$1002, $A15, Продажи!$E$2:$E$1002, "&lt;=" &amp; O$2, Продажи!$F$2:$F$1002, "&gt;" &amp; O$2)</f>
        <v>1</v>
      </c>
      <c r="P15" s="67">
        <f>COUNTIFS(Продажи!$B$2:$B$1002, $A15, Продажи!$E$2:$E$1002, "&lt;=" &amp; P$2, Продажи!$F$2:$F$1002, "&gt;" &amp; P$2)</f>
        <v>1</v>
      </c>
      <c r="Q15" s="67">
        <f>COUNTIFS(Продажи!$B$2:$B$1002, $A15, Продажи!$E$2:$E$1002, "&lt;=" &amp; Q$2, Продажи!$F$2:$F$1002, "&gt;" &amp; Q$2)</f>
        <v>1</v>
      </c>
      <c r="R15" s="67">
        <f>COUNTIFS(Продажи!$B$2:$B$1002, $A15, Продажи!$E$2:$E$1002, "&lt;=" &amp; R$2, Продажи!$F$2:$F$1002, "&gt;" &amp; R$2)</f>
        <v>1</v>
      </c>
      <c r="S15" s="67">
        <f>COUNTIFS(Продажи!$B$2:$B$1002, $A15, Продажи!$E$2:$E$1002, "&lt;=" &amp; S$2, Продажи!$F$2:$F$1002, "&gt;" &amp; S$2)</f>
        <v>1</v>
      </c>
      <c r="T15" s="67">
        <f>COUNTIFS(Продажи!$B$2:$B$1002, $A15, Продажи!$E$2:$E$1002, "&lt;=" &amp; T$2, Продажи!$F$2:$F$1002, "&gt;" &amp; T$2)</f>
        <v>1</v>
      </c>
      <c r="U15" s="67">
        <f>COUNTIFS(Продажи!$B$2:$B$1002, $A15, Продажи!$E$2:$E$1002, "&lt;=" &amp; U$2, Продажи!$F$2:$F$1002, "&gt;" &amp; U$2)</f>
        <v>1</v>
      </c>
      <c r="V15" s="67">
        <f>COUNTIFS(Продажи!$B$2:$B$1002, $A15, Продажи!$E$2:$E$1002, "&lt;=" &amp; V$2, Продажи!$F$2:$F$1002, "&gt;" &amp; V$2)</f>
        <v>1</v>
      </c>
      <c r="W15" s="67">
        <f>COUNTIFS(Продажи!$B$2:$B$1002, $A15, Продажи!$E$2:$E$1002, "&lt;=" &amp; W$2, Продажи!$F$2:$F$1002, "&gt;" &amp; W$2)</f>
        <v>1</v>
      </c>
      <c r="X15" s="67">
        <f>COUNTIFS(Продажи!$B$2:$B$1002, $A15, Продажи!$E$2:$E$1002, "&lt;=" &amp; X$2, Продажи!$F$2:$F$1002, "&gt;" &amp; X$2)</f>
        <v>1</v>
      </c>
      <c r="Y15" s="67">
        <f>COUNTIFS(Продажи!$B$2:$B$1002, $A15, Продажи!$E$2:$E$1002, "&lt;=" &amp; Y$2, Продажи!$F$2:$F$1002, "&gt;" &amp; Y$2)</f>
        <v>1</v>
      </c>
      <c r="Z15" s="67">
        <f>COUNTIFS(Продажи!$B$2:$B$1002, $A15, Продажи!$E$2:$E$1002, "&lt;=" &amp; Z$2, Продажи!$F$2:$F$1002, "&gt;" &amp; Z$2)</f>
        <v>1</v>
      </c>
      <c r="AA15" s="67">
        <f>COUNTIFS(Продажи!$B$2:$B$1002, $A15, Продажи!$E$2:$E$1002, "&lt;=" &amp; AA$2, Продажи!$F$2:$F$1002, "&gt;" &amp; AA$2)</f>
        <v>1</v>
      </c>
      <c r="AB15" s="67">
        <f>COUNTIFS(Продажи!$B$2:$B$1002, $A15, Продажи!$E$2:$E$1002, "&lt;=" &amp; AB$2, Продажи!$F$2:$F$1002, "&gt;" &amp; AB$2)</f>
        <v>1</v>
      </c>
      <c r="AC15" s="67">
        <f>COUNTIFS(Продажи!$B$2:$B$1002, $A15, Продажи!$E$2:$E$1002, "&lt;=" &amp; AC$2, Продажи!$F$2:$F$1002, "&gt;" &amp; AC$2)</f>
        <v>0</v>
      </c>
      <c r="AD15" s="67">
        <f>COUNTIFS(Продажи!$B$2:$B$1002, $A15, Продажи!$E$2:$E$1002, "&lt;=" &amp; AD$2, Продажи!$F$2:$F$1002, "&gt;" &amp; AD$2)</f>
        <v>0</v>
      </c>
      <c r="AE15" s="67">
        <f t="shared" si="0"/>
        <v>23</v>
      </c>
      <c r="AF15" s="64" t="str">
        <f ca="1">IF(SUM(OFFSET($B15,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15" s="98">
        <f>VLOOKUP(A15,ID_купе[],2,0)</f>
        <v>4</v>
      </c>
      <c r="AH15" s="132" t="str">
        <f t="shared" ca="1" si="1"/>
        <v>Занято</v>
      </c>
    </row>
    <row r="16" spans="1:57" x14ac:dyDescent="0.25">
      <c r="A16" s="68">
        <v>14</v>
      </c>
      <c r="B16" s="67">
        <f>COUNTIFS(Продажи!$B$2:$B$1002, $A16, Продажи!$E$2:$E$1002, "&lt;=" &amp; B$2, Продажи!$F$2:$F$1002, "&gt;" &amp; B$2)</f>
        <v>1</v>
      </c>
      <c r="C16" s="67">
        <f>COUNTIFS(Продажи!$B$2:$B$1002, $A16, Продажи!$E$2:$E$1002, "&lt;=" &amp; C$2, Продажи!$F$2:$F$1002, "&gt;" &amp; C$2)</f>
        <v>1</v>
      </c>
      <c r="D16" s="67">
        <f>COUNTIFS(Продажи!$B$2:$B$1002, $A16, Продажи!$E$2:$E$1002, "&lt;=" &amp; D$2, Продажи!$F$2:$F$1002, "&gt;" &amp; D$2)</f>
        <v>1</v>
      </c>
      <c r="E16" s="67">
        <f>COUNTIFS(Продажи!$B$2:$B$1002, $A16, Продажи!$E$2:$E$1002, "&lt;=" &amp; E$2, Продажи!$F$2:$F$1002, "&gt;" &amp; E$2)</f>
        <v>1</v>
      </c>
      <c r="F16" s="67">
        <f>COUNTIFS(Продажи!$B$2:$B$1002, $A16, Продажи!$E$2:$E$1002, "&lt;=" &amp; F$2, Продажи!$F$2:$F$1002, "&gt;" &amp; F$2)</f>
        <v>1</v>
      </c>
      <c r="G16" s="67">
        <f>COUNTIFS(Продажи!$B$2:$B$1002, $A16, Продажи!$E$2:$E$1002, "&lt;=" &amp; G$2, Продажи!$F$2:$F$1002, "&gt;" &amp; G$2)</f>
        <v>1</v>
      </c>
      <c r="H16" s="67">
        <f>COUNTIFS(Продажи!$B$2:$B$1002, $A16, Продажи!$E$2:$E$1002, "&lt;=" &amp; H$2, Продажи!$F$2:$F$1002, "&gt;" &amp; H$2)</f>
        <v>1</v>
      </c>
      <c r="I16" s="67">
        <f>COUNTIFS(Продажи!$B$2:$B$1002, $A16, Продажи!$E$2:$E$1002, "&lt;=" &amp; I$2, Продажи!$F$2:$F$1002, "&gt;" &amp; I$2)</f>
        <v>1</v>
      </c>
      <c r="J16" s="67">
        <f>COUNTIFS(Продажи!$B$2:$B$1002, $A16, Продажи!$E$2:$E$1002, "&lt;=" &amp; J$2, Продажи!$F$2:$F$1002, "&gt;" &amp; J$2)</f>
        <v>1</v>
      </c>
      <c r="K16" s="67">
        <f>COUNTIFS(Продажи!$B$2:$B$1002, $A16, Продажи!$E$2:$E$1002, "&lt;=" &amp; K$2, Продажи!$F$2:$F$1002, "&gt;" &amp; K$2)</f>
        <v>1</v>
      </c>
      <c r="L16" s="67">
        <f>COUNTIFS(Продажи!$B$2:$B$1002, $A16, Продажи!$E$2:$E$1002, "&lt;=" &amp; L$2, Продажи!$F$2:$F$1002, "&gt;" &amp; L$2)</f>
        <v>1</v>
      </c>
      <c r="M16" s="67">
        <f>COUNTIFS(Продажи!$B$2:$B$1002, $A16, Продажи!$E$2:$E$1002, "&lt;=" &amp; M$2, Продажи!$F$2:$F$1002, "&gt;" &amp; M$2)</f>
        <v>1</v>
      </c>
      <c r="N16" s="67">
        <f>COUNTIFS(Продажи!$B$2:$B$1002, $A16, Продажи!$E$2:$E$1002, "&lt;=" &amp; N$2, Продажи!$F$2:$F$1002, "&gt;" &amp; N$2)</f>
        <v>1</v>
      </c>
      <c r="O16" s="67">
        <f>COUNTIFS(Продажи!$B$2:$B$1002, $A16, Продажи!$E$2:$E$1002, "&lt;=" &amp; O$2, Продажи!$F$2:$F$1002, "&gt;" &amp; O$2)</f>
        <v>1</v>
      </c>
      <c r="P16" s="67">
        <f>COUNTIFS(Продажи!$B$2:$B$1002, $A16, Продажи!$E$2:$E$1002, "&lt;=" &amp; P$2, Продажи!$F$2:$F$1002, "&gt;" &amp; P$2)</f>
        <v>0</v>
      </c>
      <c r="Q16" s="67">
        <f>COUNTIFS(Продажи!$B$2:$B$1002, $A16, Продажи!$E$2:$E$1002, "&lt;=" &amp; Q$2, Продажи!$F$2:$F$1002, "&gt;" &amp; Q$2)</f>
        <v>1</v>
      </c>
      <c r="R16" s="67">
        <f>COUNTIFS(Продажи!$B$2:$B$1002, $A16, Продажи!$E$2:$E$1002, "&lt;=" &amp; R$2, Продажи!$F$2:$F$1002, "&gt;" &amp; R$2)</f>
        <v>1</v>
      </c>
      <c r="S16" s="67">
        <f>COUNTIFS(Продажи!$B$2:$B$1002, $A16, Продажи!$E$2:$E$1002, "&lt;=" &amp; S$2, Продажи!$F$2:$F$1002, "&gt;" &amp; S$2)</f>
        <v>1</v>
      </c>
      <c r="T16" s="67">
        <f>COUNTIFS(Продажи!$B$2:$B$1002, $A16, Продажи!$E$2:$E$1002, "&lt;=" &amp; T$2, Продажи!$F$2:$F$1002, "&gt;" &amp; T$2)</f>
        <v>1</v>
      </c>
      <c r="U16" s="67">
        <f>COUNTIFS(Продажи!$B$2:$B$1002, $A16, Продажи!$E$2:$E$1002, "&lt;=" &amp; U$2, Продажи!$F$2:$F$1002, "&gt;" &amp; U$2)</f>
        <v>1</v>
      </c>
      <c r="V16" s="67">
        <f>COUNTIFS(Продажи!$B$2:$B$1002, $A16, Продажи!$E$2:$E$1002, "&lt;=" &amp; V$2, Продажи!$F$2:$F$1002, "&gt;" &amp; V$2)</f>
        <v>1</v>
      </c>
      <c r="W16" s="67">
        <f>COUNTIFS(Продажи!$B$2:$B$1002, $A16, Продажи!$E$2:$E$1002, "&lt;=" &amp; W$2, Продажи!$F$2:$F$1002, "&gt;" &amp; W$2)</f>
        <v>1</v>
      </c>
      <c r="X16" s="67">
        <f>COUNTIFS(Продажи!$B$2:$B$1002, $A16, Продажи!$E$2:$E$1002, "&lt;=" &amp; X$2, Продажи!$F$2:$F$1002, "&gt;" &amp; X$2)</f>
        <v>1</v>
      </c>
      <c r="Y16" s="67">
        <f>COUNTIFS(Продажи!$B$2:$B$1002, $A16, Продажи!$E$2:$E$1002, "&lt;=" &amp; Y$2, Продажи!$F$2:$F$1002, "&gt;" &amp; Y$2)</f>
        <v>0</v>
      </c>
      <c r="Z16" s="67">
        <f>COUNTIFS(Продажи!$B$2:$B$1002, $A16, Продажи!$E$2:$E$1002, "&lt;=" &amp; Z$2, Продажи!$F$2:$F$1002, "&gt;" &amp; Z$2)</f>
        <v>0</v>
      </c>
      <c r="AA16" s="67">
        <f>COUNTIFS(Продажи!$B$2:$B$1002, $A16, Продажи!$E$2:$E$1002, "&lt;=" &amp; AA$2, Продажи!$F$2:$F$1002, "&gt;" &amp; AA$2)</f>
        <v>0</v>
      </c>
      <c r="AB16" s="67">
        <f>COUNTIFS(Продажи!$B$2:$B$1002, $A16, Продажи!$E$2:$E$1002, "&lt;=" &amp; AB$2, Продажи!$F$2:$F$1002, "&gt;" &amp; AB$2)</f>
        <v>0</v>
      </c>
      <c r="AC16" s="67">
        <f>COUNTIFS(Продажи!$B$2:$B$1002, $A16, Продажи!$E$2:$E$1002, "&lt;=" &amp; AC$2, Продажи!$F$2:$F$1002, "&gt;" &amp; AC$2)</f>
        <v>0</v>
      </c>
      <c r="AD16" s="67">
        <f>COUNTIFS(Продажи!$B$2:$B$1002, $A16, Продажи!$E$2:$E$1002, "&lt;=" &amp; AD$2, Продажи!$F$2:$F$1002, "&gt;" &amp; AD$2)</f>
        <v>0</v>
      </c>
      <c r="AE16" s="67">
        <f t="shared" si="0"/>
        <v>22</v>
      </c>
      <c r="AF16" s="64" t="str">
        <f ca="1">IF(SUM(OFFSET($B16,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16" s="98">
        <f>VLOOKUP(A16,ID_купе[],2,0)</f>
        <v>4</v>
      </c>
      <c r="AH16" s="132" t="str">
        <f t="shared" ca="1" si="1"/>
        <v>Занято</v>
      </c>
    </row>
    <row r="17" spans="1:34" x14ac:dyDescent="0.25">
      <c r="A17" s="68">
        <v>15</v>
      </c>
      <c r="B17" s="67">
        <f>COUNTIFS(Продажи!$B$2:$B$1002, $A17, Продажи!$E$2:$E$1002, "&lt;=" &amp; B$2, Продажи!$F$2:$F$1002, "&gt;" &amp; B$2)</f>
        <v>0</v>
      </c>
      <c r="C17" s="67">
        <f>COUNTIFS(Продажи!$B$2:$B$1002, $A17, Продажи!$E$2:$E$1002, "&lt;=" &amp; C$2, Продажи!$F$2:$F$1002, "&gt;" &amp; C$2)</f>
        <v>0</v>
      </c>
      <c r="D17" s="67">
        <f>COUNTIFS(Продажи!$B$2:$B$1002, $A17, Продажи!$E$2:$E$1002, "&lt;=" &amp; D$2, Продажи!$F$2:$F$1002, "&gt;" &amp; D$2)</f>
        <v>0</v>
      </c>
      <c r="E17" s="67">
        <f>COUNTIFS(Продажи!$B$2:$B$1002, $A17, Продажи!$E$2:$E$1002, "&lt;=" &amp; E$2, Продажи!$F$2:$F$1002, "&gt;" &amp; E$2)</f>
        <v>0</v>
      </c>
      <c r="F17" s="67">
        <f>COUNTIFS(Продажи!$B$2:$B$1002, $A17, Продажи!$E$2:$E$1002, "&lt;=" &amp; F$2, Продажи!$F$2:$F$1002, "&gt;" &amp; F$2)</f>
        <v>0</v>
      </c>
      <c r="G17" s="67">
        <f>COUNTIFS(Продажи!$B$2:$B$1002, $A17, Продажи!$E$2:$E$1002, "&lt;=" &amp; G$2, Продажи!$F$2:$F$1002, "&gt;" &amp; G$2)</f>
        <v>0</v>
      </c>
      <c r="H17" s="67">
        <f>COUNTIFS(Продажи!$B$2:$B$1002, $A17, Продажи!$E$2:$E$1002, "&lt;=" &amp; H$2, Продажи!$F$2:$F$1002, "&gt;" &amp; H$2)</f>
        <v>0</v>
      </c>
      <c r="I17" s="67">
        <f>COUNTIFS(Продажи!$B$2:$B$1002, $A17, Продажи!$E$2:$E$1002, "&lt;=" &amp; I$2, Продажи!$F$2:$F$1002, "&gt;" &amp; I$2)</f>
        <v>0</v>
      </c>
      <c r="J17" s="67">
        <f>COUNTIFS(Продажи!$B$2:$B$1002, $A17, Продажи!$E$2:$E$1002, "&lt;=" &amp; J$2, Продажи!$F$2:$F$1002, "&gt;" &amp; J$2)</f>
        <v>0</v>
      </c>
      <c r="K17" s="67">
        <f>COUNTIFS(Продажи!$B$2:$B$1002, $A17, Продажи!$E$2:$E$1002, "&lt;=" &amp; K$2, Продажи!$F$2:$F$1002, "&gt;" &amp; K$2)</f>
        <v>0</v>
      </c>
      <c r="L17" s="67">
        <f>COUNTIFS(Продажи!$B$2:$B$1002, $A17, Продажи!$E$2:$E$1002, "&lt;=" &amp; L$2, Продажи!$F$2:$F$1002, "&gt;" &amp; L$2)</f>
        <v>0</v>
      </c>
      <c r="M17" s="67">
        <f>COUNTIFS(Продажи!$B$2:$B$1002, $A17, Продажи!$E$2:$E$1002, "&lt;=" &amp; M$2, Продажи!$F$2:$F$1002, "&gt;" &amp; M$2)</f>
        <v>0</v>
      </c>
      <c r="N17" s="67">
        <f>COUNTIFS(Продажи!$B$2:$B$1002, $A17, Продажи!$E$2:$E$1002, "&lt;=" &amp; N$2, Продажи!$F$2:$F$1002, "&gt;" &amp; N$2)</f>
        <v>0</v>
      </c>
      <c r="O17" s="67">
        <f>COUNTIFS(Продажи!$B$2:$B$1002, $A17, Продажи!$E$2:$E$1002, "&lt;=" &amp; O$2, Продажи!$F$2:$F$1002, "&gt;" &amp; O$2)</f>
        <v>0</v>
      </c>
      <c r="P17" s="67">
        <f>COUNTIFS(Продажи!$B$2:$B$1002, $A17, Продажи!$E$2:$E$1002, "&lt;=" &amp; P$2, Продажи!$F$2:$F$1002, "&gt;" &amp; P$2)</f>
        <v>0</v>
      </c>
      <c r="Q17" s="67">
        <f>COUNTIFS(Продажи!$B$2:$B$1002, $A17, Продажи!$E$2:$E$1002, "&lt;=" &amp; Q$2, Продажи!$F$2:$F$1002, "&gt;" &amp; Q$2)</f>
        <v>0</v>
      </c>
      <c r="R17" s="67">
        <f>COUNTIFS(Продажи!$B$2:$B$1002, $A17, Продажи!$E$2:$E$1002, "&lt;=" &amp; R$2, Продажи!$F$2:$F$1002, "&gt;" &amp; R$2)</f>
        <v>0</v>
      </c>
      <c r="S17" s="67">
        <f>COUNTIFS(Продажи!$B$2:$B$1002, $A17, Продажи!$E$2:$E$1002, "&lt;=" &amp; S$2, Продажи!$F$2:$F$1002, "&gt;" &amp; S$2)</f>
        <v>0</v>
      </c>
      <c r="T17" s="67">
        <f>COUNTIFS(Продажи!$B$2:$B$1002, $A17, Продажи!$E$2:$E$1002, "&lt;=" &amp; T$2, Продажи!$F$2:$F$1002, "&gt;" &amp; T$2)</f>
        <v>0</v>
      </c>
      <c r="U17" s="67">
        <f>COUNTIFS(Продажи!$B$2:$B$1002, $A17, Продажи!$E$2:$E$1002, "&lt;=" &amp; U$2, Продажи!$F$2:$F$1002, "&gt;" &amp; U$2)</f>
        <v>0</v>
      </c>
      <c r="V17" s="67">
        <f>COUNTIFS(Продажи!$B$2:$B$1002, $A17, Продажи!$E$2:$E$1002, "&lt;=" &amp; V$2, Продажи!$F$2:$F$1002, "&gt;" &amp; V$2)</f>
        <v>0</v>
      </c>
      <c r="W17" s="67">
        <f>COUNTIFS(Продажи!$B$2:$B$1002, $A17, Продажи!$E$2:$E$1002, "&lt;=" &amp; W$2, Продажи!$F$2:$F$1002, "&gt;" &amp; W$2)</f>
        <v>0</v>
      </c>
      <c r="X17" s="67">
        <f>COUNTIFS(Продажи!$B$2:$B$1002, $A17, Продажи!$E$2:$E$1002, "&lt;=" &amp; X$2, Продажи!$F$2:$F$1002, "&gt;" &amp; X$2)</f>
        <v>0</v>
      </c>
      <c r="Y17" s="67">
        <f>COUNTIFS(Продажи!$B$2:$B$1002, $A17, Продажи!$E$2:$E$1002, "&lt;=" &amp; Y$2, Продажи!$F$2:$F$1002, "&gt;" &amp; Y$2)</f>
        <v>0</v>
      </c>
      <c r="Z17" s="67">
        <f>COUNTIFS(Продажи!$B$2:$B$1002, $A17, Продажи!$E$2:$E$1002, "&lt;=" &amp; Z$2, Продажи!$F$2:$F$1002, "&gt;" &amp; Z$2)</f>
        <v>0</v>
      </c>
      <c r="AA17" s="67">
        <f>COUNTIFS(Продажи!$B$2:$B$1002, $A17, Продажи!$E$2:$E$1002, "&lt;=" &amp; AA$2, Продажи!$F$2:$F$1002, "&gt;" &amp; AA$2)</f>
        <v>0</v>
      </c>
      <c r="AB17" s="67">
        <f>COUNTIFS(Продажи!$B$2:$B$1002, $A17, Продажи!$E$2:$E$1002, "&lt;=" &amp; AB$2, Продажи!$F$2:$F$1002, "&gt;" &amp; AB$2)</f>
        <v>0</v>
      </c>
      <c r="AC17" s="67">
        <f>COUNTIFS(Продажи!$B$2:$B$1002, $A17, Продажи!$E$2:$E$1002, "&lt;=" &amp; AC$2, Продажи!$F$2:$F$1002, "&gt;" &amp; AC$2)</f>
        <v>0</v>
      </c>
      <c r="AD17" s="67">
        <f>COUNTIFS(Продажи!$B$2:$B$1002, $A17, Продажи!$E$2:$E$1002, "&lt;=" &amp; AD$2, Продажи!$F$2:$F$1002, "&gt;" &amp; AD$2)</f>
        <v>0</v>
      </c>
      <c r="AE17" s="67">
        <f t="shared" si="0"/>
        <v>0</v>
      </c>
      <c r="AF17" s="64" t="str">
        <f ca="1">IF(SUM(OFFSET($B17,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17" s="98">
        <f>VLOOKUP(A17,ID_купе[],2,0)</f>
        <v>4</v>
      </c>
      <c r="AH17" s="132" t="str">
        <f t="shared" ca="1" si="1"/>
        <v>Частично</v>
      </c>
    </row>
    <row r="18" spans="1:34" x14ac:dyDescent="0.25">
      <c r="A18" s="68">
        <v>16</v>
      </c>
      <c r="B18" s="67">
        <f>COUNTIFS(Продажи!$B$2:$B$1002, $A18, Продажи!$E$2:$E$1002, "&lt;=" &amp; B$2, Продажи!$F$2:$F$1002, "&gt;" &amp; B$2)</f>
        <v>0</v>
      </c>
      <c r="C18" s="67">
        <f>COUNTIFS(Продажи!$B$2:$B$1002, $A18, Продажи!$E$2:$E$1002, "&lt;=" &amp; C$2, Продажи!$F$2:$F$1002, "&gt;" &amp; C$2)</f>
        <v>0</v>
      </c>
      <c r="D18" s="67">
        <f>COUNTIFS(Продажи!$B$2:$B$1002, $A18, Продажи!$E$2:$E$1002, "&lt;=" &amp; D$2, Продажи!$F$2:$F$1002, "&gt;" &amp; D$2)</f>
        <v>0</v>
      </c>
      <c r="E18" s="67">
        <f>COUNTIFS(Продажи!$B$2:$B$1002, $A18, Продажи!$E$2:$E$1002, "&lt;=" &amp; E$2, Продажи!$F$2:$F$1002, "&gt;" &amp; E$2)</f>
        <v>0</v>
      </c>
      <c r="F18" s="67">
        <f>COUNTIFS(Продажи!$B$2:$B$1002, $A18, Продажи!$E$2:$E$1002, "&lt;=" &amp; F$2, Продажи!$F$2:$F$1002, "&gt;" &amp; F$2)</f>
        <v>0</v>
      </c>
      <c r="G18" s="67">
        <f>COUNTIFS(Продажи!$B$2:$B$1002, $A18, Продажи!$E$2:$E$1002, "&lt;=" &amp; G$2, Продажи!$F$2:$F$1002, "&gt;" &amp; G$2)</f>
        <v>0</v>
      </c>
      <c r="H18" s="67">
        <f>COUNTIFS(Продажи!$B$2:$B$1002, $A18, Продажи!$E$2:$E$1002, "&lt;=" &amp; H$2, Продажи!$F$2:$F$1002, "&gt;" &amp; H$2)</f>
        <v>0</v>
      </c>
      <c r="I18" s="67">
        <f>COUNTIFS(Продажи!$B$2:$B$1002, $A18, Продажи!$E$2:$E$1002, "&lt;=" &amp; I$2, Продажи!$F$2:$F$1002, "&gt;" &amp; I$2)</f>
        <v>0</v>
      </c>
      <c r="J18" s="67">
        <f>COUNTIFS(Продажи!$B$2:$B$1002, $A18, Продажи!$E$2:$E$1002, "&lt;=" &amp; J$2, Продажи!$F$2:$F$1002, "&gt;" &amp; J$2)</f>
        <v>0</v>
      </c>
      <c r="K18" s="67">
        <f>COUNTIFS(Продажи!$B$2:$B$1002, $A18, Продажи!$E$2:$E$1002, "&lt;=" &amp; K$2, Продажи!$F$2:$F$1002, "&gt;" &amp; K$2)</f>
        <v>0</v>
      </c>
      <c r="L18" s="67">
        <f>COUNTIFS(Продажи!$B$2:$B$1002, $A18, Продажи!$E$2:$E$1002, "&lt;=" &amp; L$2, Продажи!$F$2:$F$1002, "&gt;" &amp; L$2)</f>
        <v>0</v>
      </c>
      <c r="M18" s="67">
        <f>COUNTIFS(Продажи!$B$2:$B$1002, $A18, Продажи!$E$2:$E$1002, "&lt;=" &amp; M$2, Продажи!$F$2:$F$1002, "&gt;" &amp; M$2)</f>
        <v>0</v>
      </c>
      <c r="N18" s="67">
        <f>COUNTIFS(Продажи!$B$2:$B$1002, $A18, Продажи!$E$2:$E$1002, "&lt;=" &amp; N$2, Продажи!$F$2:$F$1002, "&gt;" &amp; N$2)</f>
        <v>0</v>
      </c>
      <c r="O18" s="67">
        <f>COUNTIFS(Продажи!$B$2:$B$1002, $A18, Продажи!$E$2:$E$1002, "&lt;=" &amp; O$2, Продажи!$F$2:$F$1002, "&gt;" &amp; O$2)</f>
        <v>0</v>
      </c>
      <c r="P18" s="67">
        <f>COUNTIFS(Продажи!$B$2:$B$1002, $A18, Продажи!$E$2:$E$1002, "&lt;=" &amp; P$2, Продажи!$F$2:$F$1002, "&gt;" &amp; P$2)</f>
        <v>0</v>
      </c>
      <c r="Q18" s="67">
        <f>COUNTIFS(Продажи!$B$2:$B$1002, $A18, Продажи!$E$2:$E$1002, "&lt;=" &amp; Q$2, Продажи!$F$2:$F$1002, "&gt;" &amp; Q$2)</f>
        <v>0</v>
      </c>
      <c r="R18" s="67">
        <f>COUNTIFS(Продажи!$B$2:$B$1002, $A18, Продажи!$E$2:$E$1002, "&lt;=" &amp; R$2, Продажи!$F$2:$F$1002, "&gt;" &amp; R$2)</f>
        <v>0</v>
      </c>
      <c r="S18" s="67">
        <f>COUNTIFS(Продажи!$B$2:$B$1002, $A18, Продажи!$E$2:$E$1002, "&lt;=" &amp; S$2, Продажи!$F$2:$F$1002, "&gt;" &amp; S$2)</f>
        <v>0</v>
      </c>
      <c r="T18" s="67">
        <f>COUNTIFS(Продажи!$B$2:$B$1002, $A18, Продажи!$E$2:$E$1002, "&lt;=" &amp; T$2, Продажи!$F$2:$F$1002, "&gt;" &amp; T$2)</f>
        <v>0</v>
      </c>
      <c r="U18" s="67">
        <f>COUNTIFS(Продажи!$B$2:$B$1002, $A18, Продажи!$E$2:$E$1002, "&lt;=" &amp; U$2, Продажи!$F$2:$F$1002, "&gt;" &amp; U$2)</f>
        <v>0</v>
      </c>
      <c r="V18" s="67">
        <f>COUNTIFS(Продажи!$B$2:$B$1002, $A18, Продажи!$E$2:$E$1002, "&lt;=" &amp; V$2, Продажи!$F$2:$F$1002, "&gt;" &amp; V$2)</f>
        <v>0</v>
      </c>
      <c r="W18" s="67">
        <f>COUNTIFS(Продажи!$B$2:$B$1002, $A18, Продажи!$E$2:$E$1002, "&lt;=" &amp; W$2, Продажи!$F$2:$F$1002, "&gt;" &amp; W$2)</f>
        <v>0</v>
      </c>
      <c r="X18" s="67">
        <f>COUNTIFS(Продажи!$B$2:$B$1002, $A18, Продажи!$E$2:$E$1002, "&lt;=" &amp; X$2, Продажи!$F$2:$F$1002, "&gt;" &amp; X$2)</f>
        <v>0</v>
      </c>
      <c r="Y18" s="67">
        <f>COUNTIFS(Продажи!$B$2:$B$1002, $A18, Продажи!$E$2:$E$1002, "&lt;=" &amp; Y$2, Продажи!$F$2:$F$1002, "&gt;" &amp; Y$2)</f>
        <v>0</v>
      </c>
      <c r="Z18" s="67">
        <f>COUNTIFS(Продажи!$B$2:$B$1002, $A18, Продажи!$E$2:$E$1002, "&lt;=" &amp; Z$2, Продажи!$F$2:$F$1002, "&gt;" &amp; Z$2)</f>
        <v>0</v>
      </c>
      <c r="AA18" s="67">
        <f>COUNTIFS(Продажи!$B$2:$B$1002, $A18, Продажи!$E$2:$E$1002, "&lt;=" &amp; AA$2, Продажи!$F$2:$F$1002, "&gt;" &amp; AA$2)</f>
        <v>0</v>
      </c>
      <c r="AB18" s="67">
        <f>COUNTIFS(Продажи!$B$2:$B$1002, $A18, Продажи!$E$2:$E$1002, "&lt;=" &amp; AB$2, Продажи!$F$2:$F$1002, "&gt;" &amp; AB$2)</f>
        <v>0</v>
      </c>
      <c r="AC18" s="67">
        <f>COUNTIFS(Продажи!$B$2:$B$1002, $A18, Продажи!$E$2:$E$1002, "&lt;=" &amp; AC$2, Продажи!$F$2:$F$1002, "&gt;" &amp; AC$2)</f>
        <v>0</v>
      </c>
      <c r="AD18" s="67">
        <f>COUNTIFS(Продажи!$B$2:$B$1002, $A18, Продажи!$E$2:$E$1002, "&lt;=" &amp; AD$2, Продажи!$F$2:$F$1002, "&gt;" &amp; AD$2)</f>
        <v>0</v>
      </c>
      <c r="AE18" s="67">
        <f t="shared" si="0"/>
        <v>0</v>
      </c>
      <c r="AF18" s="64" t="str">
        <f ca="1">IF(SUM(OFFSET($B18,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18" s="98">
        <f>VLOOKUP(A18,ID_купе[],2,0)</f>
        <v>4</v>
      </c>
      <c r="AH18" s="132" t="str">
        <f t="shared" ca="1" si="1"/>
        <v>Частично</v>
      </c>
    </row>
    <row r="19" spans="1:34" x14ac:dyDescent="0.25">
      <c r="A19" s="68">
        <v>17</v>
      </c>
      <c r="B19" s="67">
        <f>COUNTIFS(Продажи!$B$2:$B$1002, $A19, Продажи!$E$2:$E$1002, "&lt;=" &amp; B$2, Продажи!$F$2:$F$1002, "&gt;" &amp; B$2)</f>
        <v>0</v>
      </c>
      <c r="C19" s="67">
        <f>COUNTIFS(Продажи!$B$2:$B$1002, $A19, Продажи!$E$2:$E$1002, "&lt;=" &amp; C$2, Продажи!$F$2:$F$1002, "&gt;" &amp; C$2)</f>
        <v>0</v>
      </c>
      <c r="D19" s="67">
        <f>COUNTIFS(Продажи!$B$2:$B$1002, $A19, Продажи!$E$2:$E$1002, "&lt;=" &amp; D$2, Продажи!$F$2:$F$1002, "&gt;" &amp; D$2)</f>
        <v>0</v>
      </c>
      <c r="E19" s="67">
        <f>COUNTIFS(Продажи!$B$2:$B$1002, $A19, Продажи!$E$2:$E$1002, "&lt;=" &amp; E$2, Продажи!$F$2:$F$1002, "&gt;" &amp; E$2)</f>
        <v>0</v>
      </c>
      <c r="F19" s="67">
        <f>COUNTIFS(Продажи!$B$2:$B$1002, $A19, Продажи!$E$2:$E$1002, "&lt;=" &amp; F$2, Продажи!$F$2:$F$1002, "&gt;" &amp; F$2)</f>
        <v>0</v>
      </c>
      <c r="G19" s="67">
        <f>COUNTIFS(Продажи!$B$2:$B$1002, $A19, Продажи!$E$2:$E$1002, "&lt;=" &amp; G$2, Продажи!$F$2:$F$1002, "&gt;" &amp; G$2)</f>
        <v>0</v>
      </c>
      <c r="H19" s="67">
        <f>COUNTIFS(Продажи!$B$2:$B$1002, $A19, Продажи!$E$2:$E$1002, "&lt;=" &amp; H$2, Продажи!$F$2:$F$1002, "&gt;" &amp; H$2)</f>
        <v>0</v>
      </c>
      <c r="I19" s="67">
        <f>COUNTIFS(Продажи!$B$2:$B$1002, $A19, Продажи!$E$2:$E$1002, "&lt;=" &amp; I$2, Продажи!$F$2:$F$1002, "&gt;" &amp; I$2)</f>
        <v>0</v>
      </c>
      <c r="J19" s="67">
        <f>COUNTIFS(Продажи!$B$2:$B$1002, $A19, Продажи!$E$2:$E$1002, "&lt;=" &amp; J$2, Продажи!$F$2:$F$1002, "&gt;" &amp; J$2)</f>
        <v>0</v>
      </c>
      <c r="K19" s="67">
        <f>COUNTIFS(Продажи!$B$2:$B$1002, $A19, Продажи!$E$2:$E$1002, "&lt;=" &amp; K$2, Продажи!$F$2:$F$1002, "&gt;" &amp; K$2)</f>
        <v>0</v>
      </c>
      <c r="L19" s="67">
        <f>COUNTIFS(Продажи!$B$2:$B$1002, $A19, Продажи!$E$2:$E$1002, "&lt;=" &amp; L$2, Продажи!$F$2:$F$1002, "&gt;" &amp; L$2)</f>
        <v>0</v>
      </c>
      <c r="M19" s="67">
        <f>COUNTIFS(Продажи!$B$2:$B$1002, $A19, Продажи!$E$2:$E$1002, "&lt;=" &amp; M$2, Продажи!$F$2:$F$1002, "&gt;" &amp; M$2)</f>
        <v>0</v>
      </c>
      <c r="N19" s="67">
        <f>COUNTIFS(Продажи!$B$2:$B$1002, $A19, Продажи!$E$2:$E$1002, "&lt;=" &amp; N$2, Продажи!$F$2:$F$1002, "&gt;" &amp; N$2)</f>
        <v>0</v>
      </c>
      <c r="O19" s="67">
        <f>COUNTIFS(Продажи!$B$2:$B$1002, $A19, Продажи!$E$2:$E$1002, "&lt;=" &amp; O$2, Продажи!$F$2:$F$1002, "&gt;" &amp; O$2)</f>
        <v>0</v>
      </c>
      <c r="P19" s="67">
        <f>COUNTIFS(Продажи!$B$2:$B$1002, $A19, Продажи!$E$2:$E$1002, "&lt;=" &amp; P$2, Продажи!$F$2:$F$1002, "&gt;" &amp; P$2)</f>
        <v>0</v>
      </c>
      <c r="Q19" s="67">
        <f>COUNTIFS(Продажи!$B$2:$B$1002, $A19, Продажи!$E$2:$E$1002, "&lt;=" &amp; Q$2, Продажи!$F$2:$F$1002, "&gt;" &amp; Q$2)</f>
        <v>0</v>
      </c>
      <c r="R19" s="67">
        <f>COUNTIFS(Продажи!$B$2:$B$1002, $A19, Продажи!$E$2:$E$1002, "&lt;=" &amp; R$2, Продажи!$F$2:$F$1002, "&gt;" &amp; R$2)</f>
        <v>0</v>
      </c>
      <c r="S19" s="67">
        <f>COUNTIFS(Продажи!$B$2:$B$1002, $A19, Продажи!$E$2:$E$1002, "&lt;=" &amp; S$2, Продажи!$F$2:$F$1002, "&gt;" &amp; S$2)</f>
        <v>0</v>
      </c>
      <c r="T19" s="67">
        <f>COUNTIFS(Продажи!$B$2:$B$1002, $A19, Продажи!$E$2:$E$1002, "&lt;=" &amp; T$2, Продажи!$F$2:$F$1002, "&gt;" &amp; T$2)</f>
        <v>0</v>
      </c>
      <c r="U19" s="67">
        <f>COUNTIFS(Продажи!$B$2:$B$1002, $A19, Продажи!$E$2:$E$1002, "&lt;=" &amp; U$2, Продажи!$F$2:$F$1002, "&gt;" &amp; U$2)</f>
        <v>0</v>
      </c>
      <c r="V19" s="67">
        <f>COUNTIFS(Продажи!$B$2:$B$1002, $A19, Продажи!$E$2:$E$1002, "&lt;=" &amp; V$2, Продажи!$F$2:$F$1002, "&gt;" &amp; V$2)</f>
        <v>0</v>
      </c>
      <c r="W19" s="67">
        <f>COUNTIFS(Продажи!$B$2:$B$1002, $A19, Продажи!$E$2:$E$1002, "&lt;=" &amp; W$2, Продажи!$F$2:$F$1002, "&gt;" &amp; W$2)</f>
        <v>0</v>
      </c>
      <c r="X19" s="67">
        <f>COUNTIFS(Продажи!$B$2:$B$1002, $A19, Продажи!$E$2:$E$1002, "&lt;=" &amp; X$2, Продажи!$F$2:$F$1002, "&gt;" &amp; X$2)</f>
        <v>0</v>
      </c>
      <c r="Y19" s="67">
        <f>COUNTIFS(Продажи!$B$2:$B$1002, $A19, Продажи!$E$2:$E$1002, "&lt;=" &amp; Y$2, Продажи!$F$2:$F$1002, "&gt;" &amp; Y$2)</f>
        <v>0</v>
      </c>
      <c r="Z19" s="67">
        <f>COUNTIFS(Продажи!$B$2:$B$1002, $A19, Продажи!$E$2:$E$1002, "&lt;=" &amp; Z$2, Продажи!$F$2:$F$1002, "&gt;" &amp; Z$2)</f>
        <v>0</v>
      </c>
      <c r="AA19" s="67">
        <f>COUNTIFS(Продажи!$B$2:$B$1002, $A19, Продажи!$E$2:$E$1002, "&lt;=" &amp; AA$2, Продажи!$F$2:$F$1002, "&gt;" &amp; AA$2)</f>
        <v>0</v>
      </c>
      <c r="AB19" s="67">
        <f>COUNTIFS(Продажи!$B$2:$B$1002, $A19, Продажи!$E$2:$E$1002, "&lt;=" &amp; AB$2, Продажи!$F$2:$F$1002, "&gt;" &amp; AB$2)</f>
        <v>0</v>
      </c>
      <c r="AC19" s="67">
        <f>COUNTIFS(Продажи!$B$2:$B$1002, $A19, Продажи!$E$2:$E$1002, "&lt;=" &amp; AC$2, Продажи!$F$2:$F$1002, "&gt;" &amp; AC$2)</f>
        <v>0</v>
      </c>
      <c r="AD19" s="67">
        <f>COUNTIFS(Продажи!$B$2:$B$1002, $A19, Продажи!$E$2:$E$1002, "&lt;=" &amp; AD$2, Продажи!$F$2:$F$1002, "&gt;" &amp; AD$2)</f>
        <v>0</v>
      </c>
      <c r="AE19" s="67">
        <f t="shared" si="0"/>
        <v>0</v>
      </c>
      <c r="AF19" s="64" t="str">
        <f ca="1">IF(SUM(OFFSET($B19,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19" s="98">
        <f>VLOOKUP(A19,ID_купе[],2,0)</f>
        <v>5</v>
      </c>
      <c r="AH19" s="132" t="str">
        <f t="shared" ca="1" si="1"/>
        <v>Частично</v>
      </c>
    </row>
    <row r="20" spans="1:34" x14ac:dyDescent="0.25">
      <c r="A20" s="68">
        <v>18</v>
      </c>
      <c r="B20" s="67">
        <f>COUNTIFS(Продажи!$B$2:$B$1002, $A20, Продажи!$E$2:$E$1002, "&lt;=" &amp; B$2, Продажи!$F$2:$F$1002, "&gt;" &amp; B$2)</f>
        <v>0</v>
      </c>
      <c r="C20" s="67">
        <f>COUNTIFS(Продажи!$B$2:$B$1002, $A20, Продажи!$E$2:$E$1002, "&lt;=" &amp; C$2, Продажи!$F$2:$F$1002, "&gt;" &amp; C$2)</f>
        <v>0</v>
      </c>
      <c r="D20" s="67">
        <f>COUNTIFS(Продажи!$B$2:$B$1002, $A20, Продажи!$E$2:$E$1002, "&lt;=" &amp; D$2, Продажи!$F$2:$F$1002, "&gt;" &amp; D$2)</f>
        <v>0</v>
      </c>
      <c r="E20" s="67">
        <f>COUNTIFS(Продажи!$B$2:$B$1002, $A20, Продажи!$E$2:$E$1002, "&lt;=" &amp; E$2, Продажи!$F$2:$F$1002, "&gt;" &amp; E$2)</f>
        <v>0</v>
      </c>
      <c r="F20" s="67">
        <f>COUNTIFS(Продажи!$B$2:$B$1002, $A20, Продажи!$E$2:$E$1002, "&lt;=" &amp; F$2, Продажи!$F$2:$F$1002, "&gt;" &amp; F$2)</f>
        <v>0</v>
      </c>
      <c r="G20" s="67">
        <f>COUNTIFS(Продажи!$B$2:$B$1002, $A20, Продажи!$E$2:$E$1002, "&lt;=" &amp; G$2, Продажи!$F$2:$F$1002, "&gt;" &amp; G$2)</f>
        <v>1</v>
      </c>
      <c r="H20" s="67">
        <f>COUNTIFS(Продажи!$B$2:$B$1002, $A20, Продажи!$E$2:$E$1002, "&lt;=" &amp; H$2, Продажи!$F$2:$F$1002, "&gt;" &amp; H$2)</f>
        <v>1</v>
      </c>
      <c r="I20" s="67">
        <f>COUNTIFS(Продажи!$B$2:$B$1002, $A20, Продажи!$E$2:$E$1002, "&lt;=" &amp; I$2, Продажи!$F$2:$F$1002, "&gt;" &amp; I$2)</f>
        <v>1</v>
      </c>
      <c r="J20" s="67">
        <f>COUNTIFS(Продажи!$B$2:$B$1002, $A20, Продажи!$E$2:$E$1002, "&lt;=" &amp; J$2, Продажи!$F$2:$F$1002, "&gt;" &amp; J$2)</f>
        <v>1</v>
      </c>
      <c r="K20" s="67">
        <f>COUNTIFS(Продажи!$B$2:$B$1002, $A20, Продажи!$E$2:$E$1002, "&lt;=" &amp; K$2, Продажи!$F$2:$F$1002, "&gt;" &amp; K$2)</f>
        <v>1</v>
      </c>
      <c r="L20" s="67">
        <f>COUNTIFS(Продажи!$B$2:$B$1002, $A20, Продажи!$E$2:$E$1002, "&lt;=" &amp; L$2, Продажи!$F$2:$F$1002, "&gt;" &amp; L$2)</f>
        <v>1</v>
      </c>
      <c r="M20" s="67">
        <f>COUNTIFS(Продажи!$B$2:$B$1002, $A20, Продажи!$E$2:$E$1002, "&lt;=" &amp; M$2, Продажи!$F$2:$F$1002, "&gt;" &amp; M$2)</f>
        <v>1</v>
      </c>
      <c r="N20" s="67">
        <f>COUNTIFS(Продажи!$B$2:$B$1002, $A20, Продажи!$E$2:$E$1002, "&lt;=" &amp; N$2, Продажи!$F$2:$F$1002, "&gt;" &amp; N$2)</f>
        <v>1</v>
      </c>
      <c r="O20" s="67">
        <f>COUNTIFS(Продажи!$B$2:$B$1002, $A20, Продажи!$E$2:$E$1002, "&lt;=" &amp; O$2, Продажи!$F$2:$F$1002, "&gt;" &amp; O$2)</f>
        <v>1</v>
      </c>
      <c r="P20" s="67">
        <f>COUNTIFS(Продажи!$B$2:$B$1002, $A20, Продажи!$E$2:$E$1002, "&lt;=" &amp; P$2, Продажи!$F$2:$F$1002, "&gt;" &amp; P$2)</f>
        <v>1</v>
      </c>
      <c r="Q20" s="67">
        <f>COUNTIFS(Продажи!$B$2:$B$1002, $A20, Продажи!$E$2:$E$1002, "&lt;=" &amp; Q$2, Продажи!$F$2:$F$1002, "&gt;" &amp; Q$2)</f>
        <v>1</v>
      </c>
      <c r="R20" s="67">
        <f>COUNTIFS(Продажи!$B$2:$B$1002, $A20, Продажи!$E$2:$E$1002, "&lt;=" &amp; R$2, Продажи!$F$2:$F$1002, "&gt;" &amp; R$2)</f>
        <v>1</v>
      </c>
      <c r="S20" s="67">
        <f>COUNTIFS(Продажи!$B$2:$B$1002, $A20, Продажи!$E$2:$E$1002, "&lt;=" &amp; S$2, Продажи!$F$2:$F$1002, "&gt;" &amp; S$2)</f>
        <v>1</v>
      </c>
      <c r="T20" s="67">
        <f>COUNTIFS(Продажи!$B$2:$B$1002, $A20, Продажи!$E$2:$E$1002, "&lt;=" &amp; T$2, Продажи!$F$2:$F$1002, "&gt;" &amp; T$2)</f>
        <v>1</v>
      </c>
      <c r="U20" s="67">
        <f>COUNTIFS(Продажи!$B$2:$B$1002, $A20, Продажи!$E$2:$E$1002, "&lt;=" &amp; U$2, Продажи!$F$2:$F$1002, "&gt;" &amp; U$2)</f>
        <v>1</v>
      </c>
      <c r="V20" s="67">
        <f>COUNTIFS(Продажи!$B$2:$B$1002, $A20, Продажи!$E$2:$E$1002, "&lt;=" &amp; V$2, Продажи!$F$2:$F$1002, "&gt;" &amp; V$2)</f>
        <v>1</v>
      </c>
      <c r="W20" s="67">
        <f>COUNTIFS(Продажи!$B$2:$B$1002, $A20, Продажи!$E$2:$E$1002, "&lt;=" &amp; W$2, Продажи!$F$2:$F$1002, "&gt;" &amp; W$2)</f>
        <v>1</v>
      </c>
      <c r="X20" s="67">
        <f>COUNTIFS(Продажи!$B$2:$B$1002, $A20, Продажи!$E$2:$E$1002, "&lt;=" &amp; X$2, Продажи!$F$2:$F$1002, "&gt;" &amp; X$2)</f>
        <v>1</v>
      </c>
      <c r="Y20" s="67">
        <f>COUNTIFS(Продажи!$B$2:$B$1002, $A20, Продажи!$E$2:$E$1002, "&lt;=" &amp; Y$2, Продажи!$F$2:$F$1002, "&gt;" &amp; Y$2)</f>
        <v>1</v>
      </c>
      <c r="Z20" s="67">
        <f>COUNTIFS(Продажи!$B$2:$B$1002, $A20, Продажи!$E$2:$E$1002, "&lt;=" &amp; Z$2, Продажи!$F$2:$F$1002, "&gt;" &amp; Z$2)</f>
        <v>1</v>
      </c>
      <c r="AA20" s="67">
        <f>COUNTIFS(Продажи!$B$2:$B$1002, $A20, Продажи!$E$2:$E$1002, "&lt;=" &amp; AA$2, Продажи!$F$2:$F$1002, "&gt;" &amp; AA$2)</f>
        <v>1</v>
      </c>
      <c r="AB20" s="67">
        <f>COUNTIFS(Продажи!$B$2:$B$1002, $A20, Продажи!$E$2:$E$1002, "&lt;=" &amp; AB$2, Продажи!$F$2:$F$1002, "&gt;" &amp; AB$2)</f>
        <v>1</v>
      </c>
      <c r="AC20" s="67">
        <f>COUNTIFS(Продажи!$B$2:$B$1002, $A20, Продажи!$E$2:$E$1002, "&lt;=" &amp; AC$2, Продажи!$F$2:$F$1002, "&gt;" &amp; AC$2)</f>
        <v>1</v>
      </c>
      <c r="AD20" s="67">
        <f>COUNTIFS(Продажи!$B$2:$B$1002, $A20, Продажи!$E$2:$E$1002, "&lt;=" &amp; AD$2, Продажи!$F$2:$F$1002, "&gt;" &amp; AD$2)</f>
        <v>1</v>
      </c>
      <c r="AE20" s="67">
        <f t="shared" si="0"/>
        <v>24</v>
      </c>
      <c r="AF20" s="64" t="str">
        <f ca="1">IF(SUM(OFFSET($B20,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20" s="98">
        <f>VLOOKUP(A20,ID_купе[],2,0)</f>
        <v>5</v>
      </c>
      <c r="AH20" s="132" t="str">
        <f ca="1">IF(AF20="Мест нет", "Занято",  IF(COUNTIFS($AG$3:$AG$56, AG20, $AF$3:$AF$56, "Свободно") = COUNTIF($AG$3:$AG$56, AG20),  "Целое купе/отсек", "Частично"))</f>
        <v>Занято</v>
      </c>
    </row>
    <row r="21" spans="1:34" x14ac:dyDescent="0.25">
      <c r="A21" s="68">
        <v>19</v>
      </c>
      <c r="B21" s="67">
        <f>COUNTIFS(Продажи!$B$2:$B$1002, $A21, Продажи!$E$2:$E$1002, "&lt;=" &amp; B$2, Продажи!$F$2:$F$1002, "&gt;" &amp; B$2)</f>
        <v>0</v>
      </c>
      <c r="C21" s="67">
        <f>COUNTIFS(Продажи!$B$2:$B$1002, $A21, Продажи!$E$2:$E$1002, "&lt;=" &amp; C$2, Продажи!$F$2:$F$1002, "&gt;" &amp; C$2)</f>
        <v>0</v>
      </c>
      <c r="D21" s="67">
        <f>COUNTIFS(Продажи!$B$2:$B$1002, $A21, Продажи!$E$2:$E$1002, "&lt;=" &amp; D$2, Продажи!$F$2:$F$1002, "&gt;" &amp; D$2)</f>
        <v>0</v>
      </c>
      <c r="E21" s="67">
        <f>COUNTIFS(Продажи!$B$2:$B$1002, $A21, Продажи!$E$2:$E$1002, "&lt;=" &amp; E$2, Продажи!$F$2:$F$1002, "&gt;" &amp; E$2)</f>
        <v>0</v>
      </c>
      <c r="F21" s="67">
        <f>COUNTIFS(Продажи!$B$2:$B$1002, $A21, Продажи!$E$2:$E$1002, "&lt;=" &amp; F$2, Продажи!$F$2:$F$1002, "&gt;" &amp; F$2)</f>
        <v>0</v>
      </c>
      <c r="G21" s="67">
        <f>COUNTIFS(Продажи!$B$2:$B$1002, $A21, Продажи!$E$2:$E$1002, "&lt;=" &amp; G$2, Продажи!$F$2:$F$1002, "&gt;" &amp; G$2)</f>
        <v>0</v>
      </c>
      <c r="H21" s="67">
        <f>COUNTIFS(Продажи!$B$2:$B$1002, $A21, Продажи!$E$2:$E$1002, "&lt;=" &amp; H$2, Продажи!$F$2:$F$1002, "&gt;" &amp; H$2)</f>
        <v>0</v>
      </c>
      <c r="I21" s="67">
        <f>COUNTIFS(Продажи!$B$2:$B$1002, $A21, Продажи!$E$2:$E$1002, "&lt;=" &amp; I$2, Продажи!$F$2:$F$1002, "&gt;" &amp; I$2)</f>
        <v>0</v>
      </c>
      <c r="J21" s="67">
        <f>COUNTIFS(Продажи!$B$2:$B$1002, $A21, Продажи!$E$2:$E$1002, "&lt;=" &amp; J$2, Продажи!$F$2:$F$1002, "&gt;" &amp; J$2)</f>
        <v>0</v>
      </c>
      <c r="K21" s="67">
        <f>COUNTIFS(Продажи!$B$2:$B$1002, $A21, Продажи!$E$2:$E$1002, "&lt;=" &amp; K$2, Продажи!$F$2:$F$1002, "&gt;" &amp; K$2)</f>
        <v>0</v>
      </c>
      <c r="L21" s="67">
        <f>COUNTIFS(Продажи!$B$2:$B$1002, $A21, Продажи!$E$2:$E$1002, "&lt;=" &amp; L$2, Продажи!$F$2:$F$1002, "&gt;" &amp; L$2)</f>
        <v>0</v>
      </c>
      <c r="M21" s="67">
        <f>COUNTIFS(Продажи!$B$2:$B$1002, $A21, Продажи!$E$2:$E$1002, "&lt;=" &amp; M$2, Продажи!$F$2:$F$1002, "&gt;" &amp; M$2)</f>
        <v>0</v>
      </c>
      <c r="N21" s="67">
        <f>COUNTIFS(Продажи!$B$2:$B$1002, $A21, Продажи!$E$2:$E$1002, "&lt;=" &amp; N$2, Продажи!$F$2:$F$1002, "&gt;" &amp; N$2)</f>
        <v>0</v>
      </c>
      <c r="O21" s="67">
        <f>COUNTIFS(Продажи!$B$2:$B$1002, $A21, Продажи!$E$2:$E$1002, "&lt;=" &amp; O$2, Продажи!$F$2:$F$1002, "&gt;" &amp; O$2)</f>
        <v>0</v>
      </c>
      <c r="P21" s="67">
        <f>COUNTIFS(Продажи!$B$2:$B$1002, $A21, Продажи!$E$2:$E$1002, "&lt;=" &amp; P$2, Продажи!$F$2:$F$1002, "&gt;" &amp; P$2)</f>
        <v>0</v>
      </c>
      <c r="Q21" s="67">
        <f>COUNTIFS(Продажи!$B$2:$B$1002, $A21, Продажи!$E$2:$E$1002, "&lt;=" &amp; Q$2, Продажи!$F$2:$F$1002, "&gt;" &amp; Q$2)</f>
        <v>0</v>
      </c>
      <c r="R21" s="67">
        <f>COUNTIFS(Продажи!$B$2:$B$1002, $A21, Продажи!$E$2:$E$1002, "&lt;=" &amp; R$2, Продажи!$F$2:$F$1002, "&gt;" &amp; R$2)</f>
        <v>0</v>
      </c>
      <c r="S21" s="67">
        <f>COUNTIFS(Продажи!$B$2:$B$1002, $A21, Продажи!$E$2:$E$1002, "&lt;=" &amp; S$2, Продажи!$F$2:$F$1002, "&gt;" &amp; S$2)</f>
        <v>0</v>
      </c>
      <c r="T21" s="67">
        <f>COUNTIFS(Продажи!$B$2:$B$1002, $A21, Продажи!$E$2:$E$1002, "&lt;=" &amp; T$2, Продажи!$F$2:$F$1002, "&gt;" &amp; T$2)</f>
        <v>0</v>
      </c>
      <c r="U21" s="67">
        <f>COUNTIFS(Продажи!$B$2:$B$1002, $A21, Продажи!$E$2:$E$1002, "&lt;=" &amp; U$2, Продажи!$F$2:$F$1002, "&gt;" &amp; U$2)</f>
        <v>0</v>
      </c>
      <c r="V21" s="67">
        <f>COUNTIFS(Продажи!$B$2:$B$1002, $A21, Продажи!$E$2:$E$1002, "&lt;=" &amp; V$2, Продажи!$F$2:$F$1002, "&gt;" &amp; V$2)</f>
        <v>0</v>
      </c>
      <c r="W21" s="67">
        <f>COUNTIFS(Продажи!$B$2:$B$1002, $A21, Продажи!$E$2:$E$1002, "&lt;=" &amp; W$2, Продажи!$F$2:$F$1002, "&gt;" &amp; W$2)</f>
        <v>0</v>
      </c>
      <c r="X21" s="67">
        <f>COUNTIFS(Продажи!$B$2:$B$1002, $A21, Продажи!$E$2:$E$1002, "&lt;=" &amp; X$2, Продажи!$F$2:$F$1002, "&gt;" &amp; X$2)</f>
        <v>0</v>
      </c>
      <c r="Y21" s="67">
        <f>COUNTIFS(Продажи!$B$2:$B$1002, $A21, Продажи!$E$2:$E$1002, "&lt;=" &amp; Y$2, Продажи!$F$2:$F$1002, "&gt;" &amp; Y$2)</f>
        <v>0</v>
      </c>
      <c r="Z21" s="67">
        <f>COUNTIFS(Продажи!$B$2:$B$1002, $A21, Продажи!$E$2:$E$1002, "&lt;=" &amp; Z$2, Продажи!$F$2:$F$1002, "&gt;" &amp; Z$2)</f>
        <v>0</v>
      </c>
      <c r="AA21" s="67">
        <f>COUNTIFS(Продажи!$B$2:$B$1002, $A21, Продажи!$E$2:$E$1002, "&lt;=" &amp; AA$2, Продажи!$F$2:$F$1002, "&gt;" &amp; AA$2)</f>
        <v>0</v>
      </c>
      <c r="AB21" s="67">
        <f>COUNTIFS(Продажи!$B$2:$B$1002, $A21, Продажи!$E$2:$E$1002, "&lt;=" &amp; AB$2, Продажи!$F$2:$F$1002, "&gt;" &amp; AB$2)</f>
        <v>0</v>
      </c>
      <c r="AC21" s="67">
        <f>COUNTIFS(Продажи!$B$2:$B$1002, $A21, Продажи!$E$2:$E$1002, "&lt;=" &amp; AC$2, Продажи!$F$2:$F$1002, "&gt;" &amp; AC$2)</f>
        <v>0</v>
      </c>
      <c r="AD21" s="67">
        <f>COUNTIFS(Продажи!$B$2:$B$1002, $A21, Продажи!$E$2:$E$1002, "&lt;=" &amp; AD$2, Продажи!$F$2:$F$1002, "&gt;" &amp; AD$2)</f>
        <v>0</v>
      </c>
      <c r="AE21" s="67">
        <f t="shared" si="0"/>
        <v>0</v>
      </c>
      <c r="AF21" s="64" t="str">
        <f ca="1">IF(SUM(OFFSET($B21,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1" s="98">
        <f>VLOOKUP(A21,ID_купе[],2,0)</f>
        <v>5</v>
      </c>
      <c r="AH21" s="132" t="str">
        <f t="shared" ca="1" si="1"/>
        <v>Частично</v>
      </c>
    </row>
    <row r="22" spans="1:34" x14ac:dyDescent="0.25">
      <c r="A22" s="68">
        <v>20</v>
      </c>
      <c r="B22" s="67">
        <f>COUNTIFS(Продажи!$B$2:$B$1002, $A22, Продажи!$E$2:$E$1002, "&lt;=" &amp; B$2, Продажи!$F$2:$F$1002, "&gt;" &amp; B$2)</f>
        <v>0</v>
      </c>
      <c r="C22" s="67">
        <f>COUNTIFS(Продажи!$B$2:$B$1002, $A22, Продажи!$E$2:$E$1002, "&lt;=" &amp; C$2, Продажи!$F$2:$F$1002, "&gt;" &amp; C$2)</f>
        <v>0</v>
      </c>
      <c r="D22" s="67">
        <f>COUNTIFS(Продажи!$B$2:$B$1002, $A22, Продажи!$E$2:$E$1002, "&lt;=" &amp; D$2, Продажи!$F$2:$F$1002, "&gt;" &amp; D$2)</f>
        <v>0</v>
      </c>
      <c r="E22" s="67">
        <f>COUNTIFS(Продажи!$B$2:$B$1002, $A22, Продажи!$E$2:$E$1002, "&lt;=" &amp; E$2, Продажи!$F$2:$F$1002, "&gt;" &amp; E$2)</f>
        <v>0</v>
      </c>
      <c r="F22" s="67">
        <f>COUNTIFS(Продажи!$B$2:$B$1002, $A22, Продажи!$E$2:$E$1002, "&lt;=" &amp; F$2, Продажи!$F$2:$F$1002, "&gt;" &amp; F$2)</f>
        <v>0</v>
      </c>
      <c r="G22" s="67">
        <f>COUNTIFS(Продажи!$B$2:$B$1002, $A22, Продажи!$E$2:$E$1002, "&lt;=" &amp; G$2, Продажи!$F$2:$F$1002, "&gt;" &amp; G$2)</f>
        <v>0</v>
      </c>
      <c r="H22" s="67">
        <f>COUNTIFS(Продажи!$B$2:$B$1002, $A22, Продажи!$E$2:$E$1002, "&lt;=" &amp; H$2, Продажи!$F$2:$F$1002, "&gt;" &amp; H$2)</f>
        <v>0</v>
      </c>
      <c r="I22" s="67">
        <f>COUNTIFS(Продажи!$B$2:$B$1002, $A22, Продажи!$E$2:$E$1002, "&lt;=" &amp; I$2, Продажи!$F$2:$F$1002, "&gt;" &amp; I$2)</f>
        <v>0</v>
      </c>
      <c r="J22" s="67">
        <f>COUNTIFS(Продажи!$B$2:$B$1002, $A22, Продажи!$E$2:$E$1002, "&lt;=" &amp; J$2, Продажи!$F$2:$F$1002, "&gt;" &amp; J$2)</f>
        <v>0</v>
      </c>
      <c r="K22" s="67">
        <f>COUNTIFS(Продажи!$B$2:$B$1002, $A22, Продажи!$E$2:$E$1002, "&lt;=" &amp; K$2, Продажи!$F$2:$F$1002, "&gt;" &amp; K$2)</f>
        <v>0</v>
      </c>
      <c r="L22" s="67">
        <f>COUNTIFS(Продажи!$B$2:$B$1002, $A22, Продажи!$E$2:$E$1002, "&lt;=" &amp; L$2, Продажи!$F$2:$F$1002, "&gt;" &amp; L$2)</f>
        <v>0</v>
      </c>
      <c r="M22" s="67">
        <f>COUNTIFS(Продажи!$B$2:$B$1002, $A22, Продажи!$E$2:$E$1002, "&lt;=" &amp; M$2, Продажи!$F$2:$F$1002, "&gt;" &amp; M$2)</f>
        <v>0</v>
      </c>
      <c r="N22" s="67">
        <f>COUNTIFS(Продажи!$B$2:$B$1002, $A22, Продажи!$E$2:$E$1002, "&lt;=" &amp; N$2, Продажи!$F$2:$F$1002, "&gt;" &amp; N$2)</f>
        <v>0</v>
      </c>
      <c r="O22" s="67">
        <f>COUNTIFS(Продажи!$B$2:$B$1002, $A22, Продажи!$E$2:$E$1002, "&lt;=" &amp; O$2, Продажи!$F$2:$F$1002, "&gt;" &amp; O$2)</f>
        <v>0</v>
      </c>
      <c r="P22" s="67">
        <f>COUNTIFS(Продажи!$B$2:$B$1002, $A22, Продажи!$E$2:$E$1002, "&lt;=" &amp; P$2, Продажи!$F$2:$F$1002, "&gt;" &amp; P$2)</f>
        <v>0</v>
      </c>
      <c r="Q22" s="67">
        <f>COUNTIFS(Продажи!$B$2:$B$1002, $A22, Продажи!$E$2:$E$1002, "&lt;=" &amp; Q$2, Продажи!$F$2:$F$1002, "&gt;" &amp; Q$2)</f>
        <v>0</v>
      </c>
      <c r="R22" s="67">
        <f>COUNTIFS(Продажи!$B$2:$B$1002, $A22, Продажи!$E$2:$E$1002, "&lt;=" &amp; R$2, Продажи!$F$2:$F$1002, "&gt;" &amp; R$2)</f>
        <v>0</v>
      </c>
      <c r="S22" s="67">
        <f>COUNTIFS(Продажи!$B$2:$B$1002, $A22, Продажи!$E$2:$E$1002, "&lt;=" &amp; S$2, Продажи!$F$2:$F$1002, "&gt;" &amp; S$2)</f>
        <v>0</v>
      </c>
      <c r="T22" s="67">
        <f>COUNTIFS(Продажи!$B$2:$B$1002, $A22, Продажи!$E$2:$E$1002, "&lt;=" &amp; T$2, Продажи!$F$2:$F$1002, "&gt;" &amp; T$2)</f>
        <v>0</v>
      </c>
      <c r="U22" s="67">
        <f>COUNTIFS(Продажи!$B$2:$B$1002, $A22, Продажи!$E$2:$E$1002, "&lt;=" &amp; U$2, Продажи!$F$2:$F$1002, "&gt;" &amp; U$2)</f>
        <v>0</v>
      </c>
      <c r="V22" s="67">
        <f>COUNTIFS(Продажи!$B$2:$B$1002, $A22, Продажи!$E$2:$E$1002, "&lt;=" &amp; V$2, Продажи!$F$2:$F$1002, "&gt;" &amp; V$2)</f>
        <v>0</v>
      </c>
      <c r="W22" s="67">
        <f>COUNTIFS(Продажи!$B$2:$B$1002, $A22, Продажи!$E$2:$E$1002, "&lt;=" &amp; W$2, Продажи!$F$2:$F$1002, "&gt;" &amp; W$2)</f>
        <v>0</v>
      </c>
      <c r="X22" s="67">
        <f>COUNTIFS(Продажи!$B$2:$B$1002, $A22, Продажи!$E$2:$E$1002, "&lt;=" &amp; X$2, Продажи!$F$2:$F$1002, "&gt;" &amp; X$2)</f>
        <v>0</v>
      </c>
      <c r="Y22" s="67">
        <f>COUNTIFS(Продажи!$B$2:$B$1002, $A22, Продажи!$E$2:$E$1002, "&lt;=" &amp; Y$2, Продажи!$F$2:$F$1002, "&gt;" &amp; Y$2)</f>
        <v>0</v>
      </c>
      <c r="Z22" s="67">
        <f>COUNTIFS(Продажи!$B$2:$B$1002, $A22, Продажи!$E$2:$E$1002, "&lt;=" &amp; Z$2, Продажи!$F$2:$F$1002, "&gt;" &amp; Z$2)</f>
        <v>0</v>
      </c>
      <c r="AA22" s="67">
        <f>COUNTIFS(Продажи!$B$2:$B$1002, $A22, Продажи!$E$2:$E$1002, "&lt;=" &amp; AA$2, Продажи!$F$2:$F$1002, "&gt;" &amp; AA$2)</f>
        <v>0</v>
      </c>
      <c r="AB22" s="67">
        <f>COUNTIFS(Продажи!$B$2:$B$1002, $A22, Продажи!$E$2:$E$1002, "&lt;=" &amp; AB$2, Продажи!$F$2:$F$1002, "&gt;" &amp; AB$2)</f>
        <v>0</v>
      </c>
      <c r="AC22" s="67">
        <f>COUNTIFS(Продажи!$B$2:$B$1002, $A22, Продажи!$E$2:$E$1002, "&lt;=" &amp; AC$2, Продажи!$F$2:$F$1002, "&gt;" &amp; AC$2)</f>
        <v>0</v>
      </c>
      <c r="AD22" s="67">
        <f>COUNTIFS(Продажи!$B$2:$B$1002, $A22, Продажи!$E$2:$E$1002, "&lt;=" &amp; AD$2, Продажи!$F$2:$F$1002, "&gt;" &amp; AD$2)</f>
        <v>0</v>
      </c>
      <c r="AE22" s="67">
        <f t="shared" si="0"/>
        <v>0</v>
      </c>
      <c r="AF22" s="64" t="str">
        <f ca="1">IF(SUM(OFFSET($B22,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2" s="98">
        <f>VLOOKUP(A22,ID_купе[],2,0)</f>
        <v>5</v>
      </c>
      <c r="AH22" s="132" t="str">
        <f t="shared" ca="1" si="1"/>
        <v>Частично</v>
      </c>
    </row>
    <row r="23" spans="1:34" x14ac:dyDescent="0.25">
      <c r="A23" s="68">
        <v>21</v>
      </c>
      <c r="B23" s="67">
        <f>COUNTIFS(Продажи!$B$2:$B$1002, $A23, Продажи!$E$2:$E$1002, "&lt;=" &amp; B$2, Продажи!$F$2:$F$1002, "&gt;" &amp; B$2)</f>
        <v>0</v>
      </c>
      <c r="C23" s="67">
        <f>COUNTIFS(Продажи!$B$2:$B$1002, $A23, Продажи!$E$2:$E$1002, "&lt;=" &amp; C$2, Продажи!$F$2:$F$1002, "&gt;" &amp; C$2)</f>
        <v>0</v>
      </c>
      <c r="D23" s="67">
        <f>COUNTIFS(Продажи!$B$2:$B$1002, $A23, Продажи!$E$2:$E$1002, "&lt;=" &amp; D$2, Продажи!$F$2:$F$1002, "&gt;" &amp; D$2)</f>
        <v>0</v>
      </c>
      <c r="E23" s="67">
        <f>COUNTIFS(Продажи!$B$2:$B$1002, $A23, Продажи!$E$2:$E$1002, "&lt;=" &amp; E$2, Продажи!$F$2:$F$1002, "&gt;" &amp; E$2)</f>
        <v>0</v>
      </c>
      <c r="F23" s="67">
        <f>COUNTIFS(Продажи!$B$2:$B$1002, $A23, Продажи!$E$2:$E$1002, "&lt;=" &amp; F$2, Продажи!$F$2:$F$1002, "&gt;" &amp; F$2)</f>
        <v>0</v>
      </c>
      <c r="G23" s="67">
        <f>COUNTIFS(Продажи!$B$2:$B$1002, $A23, Продажи!$E$2:$E$1002, "&lt;=" &amp; G$2, Продажи!$F$2:$F$1002, "&gt;" &amp; G$2)</f>
        <v>0</v>
      </c>
      <c r="H23" s="67">
        <f>COUNTIFS(Продажи!$B$2:$B$1002, $A23, Продажи!$E$2:$E$1002, "&lt;=" &amp; H$2, Продажи!$F$2:$F$1002, "&gt;" &amp; H$2)</f>
        <v>0</v>
      </c>
      <c r="I23" s="67">
        <f>COUNTIFS(Продажи!$B$2:$B$1002, $A23, Продажи!$E$2:$E$1002, "&lt;=" &amp; I$2, Продажи!$F$2:$F$1002, "&gt;" &amp; I$2)</f>
        <v>0</v>
      </c>
      <c r="J23" s="67">
        <f>COUNTIFS(Продажи!$B$2:$B$1002, $A23, Продажи!$E$2:$E$1002, "&lt;=" &amp; J$2, Продажи!$F$2:$F$1002, "&gt;" &amp; J$2)</f>
        <v>0</v>
      </c>
      <c r="K23" s="67">
        <f>COUNTIFS(Продажи!$B$2:$B$1002, $A23, Продажи!$E$2:$E$1002, "&lt;=" &amp; K$2, Продажи!$F$2:$F$1002, "&gt;" &amp; K$2)</f>
        <v>0</v>
      </c>
      <c r="L23" s="67">
        <f>COUNTIFS(Продажи!$B$2:$B$1002, $A23, Продажи!$E$2:$E$1002, "&lt;=" &amp; L$2, Продажи!$F$2:$F$1002, "&gt;" &amp; L$2)</f>
        <v>0</v>
      </c>
      <c r="M23" s="67">
        <f>COUNTIFS(Продажи!$B$2:$B$1002, $A23, Продажи!$E$2:$E$1002, "&lt;=" &amp; M$2, Продажи!$F$2:$F$1002, "&gt;" &amp; M$2)</f>
        <v>0</v>
      </c>
      <c r="N23" s="67">
        <f>COUNTIFS(Продажи!$B$2:$B$1002, $A23, Продажи!$E$2:$E$1002, "&lt;=" &amp; N$2, Продажи!$F$2:$F$1002, "&gt;" &amp; N$2)</f>
        <v>0</v>
      </c>
      <c r="O23" s="67">
        <f>COUNTIFS(Продажи!$B$2:$B$1002, $A23, Продажи!$E$2:$E$1002, "&lt;=" &amp; O$2, Продажи!$F$2:$F$1002, "&gt;" &amp; O$2)</f>
        <v>0</v>
      </c>
      <c r="P23" s="67">
        <f>COUNTIFS(Продажи!$B$2:$B$1002, $A23, Продажи!$E$2:$E$1002, "&lt;=" &amp; P$2, Продажи!$F$2:$F$1002, "&gt;" &amp; P$2)</f>
        <v>0</v>
      </c>
      <c r="Q23" s="67">
        <f>COUNTIFS(Продажи!$B$2:$B$1002, $A23, Продажи!$E$2:$E$1002, "&lt;=" &amp; Q$2, Продажи!$F$2:$F$1002, "&gt;" &amp; Q$2)</f>
        <v>0</v>
      </c>
      <c r="R23" s="67">
        <f>COUNTIFS(Продажи!$B$2:$B$1002, $A23, Продажи!$E$2:$E$1002, "&lt;=" &amp; R$2, Продажи!$F$2:$F$1002, "&gt;" &amp; R$2)</f>
        <v>0</v>
      </c>
      <c r="S23" s="67">
        <f>COUNTIFS(Продажи!$B$2:$B$1002, $A23, Продажи!$E$2:$E$1002, "&lt;=" &amp; S$2, Продажи!$F$2:$F$1002, "&gt;" &amp; S$2)</f>
        <v>0</v>
      </c>
      <c r="T23" s="67">
        <f>COUNTIFS(Продажи!$B$2:$B$1002, $A23, Продажи!$E$2:$E$1002, "&lt;=" &amp; T$2, Продажи!$F$2:$F$1002, "&gt;" &amp; T$2)</f>
        <v>0</v>
      </c>
      <c r="U23" s="67">
        <f>COUNTIFS(Продажи!$B$2:$B$1002, $A23, Продажи!$E$2:$E$1002, "&lt;=" &amp; U$2, Продажи!$F$2:$F$1002, "&gt;" &amp; U$2)</f>
        <v>0</v>
      </c>
      <c r="V23" s="67">
        <f>COUNTIFS(Продажи!$B$2:$B$1002, $A23, Продажи!$E$2:$E$1002, "&lt;=" &amp; V$2, Продажи!$F$2:$F$1002, "&gt;" &amp; V$2)</f>
        <v>0</v>
      </c>
      <c r="W23" s="67">
        <f>COUNTIFS(Продажи!$B$2:$B$1002, $A23, Продажи!$E$2:$E$1002, "&lt;=" &amp; W$2, Продажи!$F$2:$F$1002, "&gt;" &amp; W$2)</f>
        <v>0</v>
      </c>
      <c r="X23" s="67">
        <f>COUNTIFS(Продажи!$B$2:$B$1002, $A23, Продажи!$E$2:$E$1002, "&lt;=" &amp; X$2, Продажи!$F$2:$F$1002, "&gt;" &amp; X$2)</f>
        <v>0</v>
      </c>
      <c r="Y23" s="67">
        <f>COUNTIFS(Продажи!$B$2:$B$1002, $A23, Продажи!$E$2:$E$1002, "&lt;=" &amp; Y$2, Продажи!$F$2:$F$1002, "&gt;" &amp; Y$2)</f>
        <v>0</v>
      </c>
      <c r="Z23" s="67">
        <f>COUNTIFS(Продажи!$B$2:$B$1002, $A23, Продажи!$E$2:$E$1002, "&lt;=" &amp; Z$2, Продажи!$F$2:$F$1002, "&gt;" &amp; Z$2)</f>
        <v>0</v>
      </c>
      <c r="AA23" s="67">
        <f>COUNTIFS(Продажи!$B$2:$B$1002, $A23, Продажи!$E$2:$E$1002, "&lt;=" &amp; AA$2, Продажи!$F$2:$F$1002, "&gt;" &amp; AA$2)</f>
        <v>0</v>
      </c>
      <c r="AB23" s="67">
        <f>COUNTIFS(Продажи!$B$2:$B$1002, $A23, Продажи!$E$2:$E$1002, "&lt;=" &amp; AB$2, Продажи!$F$2:$F$1002, "&gt;" &amp; AB$2)</f>
        <v>0</v>
      </c>
      <c r="AC23" s="67">
        <f>COUNTIFS(Продажи!$B$2:$B$1002, $A23, Продажи!$E$2:$E$1002, "&lt;=" &amp; AC$2, Продажи!$F$2:$F$1002, "&gt;" &amp; AC$2)</f>
        <v>0</v>
      </c>
      <c r="AD23" s="67">
        <f>COUNTIFS(Продажи!$B$2:$B$1002, $A23, Продажи!$E$2:$E$1002, "&lt;=" &amp; AD$2, Продажи!$F$2:$F$1002, "&gt;" &amp; AD$2)</f>
        <v>0</v>
      </c>
      <c r="AE23" s="67">
        <f t="shared" si="0"/>
        <v>0</v>
      </c>
      <c r="AF23" s="64" t="str">
        <f ca="1">IF(SUM(OFFSET($B23,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3" s="98">
        <f>VLOOKUP(A23,ID_купе[],2,0)</f>
        <v>6</v>
      </c>
      <c r="AH23" s="132" t="str">
        <f t="shared" ca="1" si="1"/>
        <v>Целое купе/отсек</v>
      </c>
    </row>
    <row r="24" spans="1:34" x14ac:dyDescent="0.25">
      <c r="A24" s="68">
        <v>22</v>
      </c>
      <c r="B24" s="67">
        <f>COUNTIFS(Продажи!$B$2:$B$1002, $A24, Продажи!$E$2:$E$1002, "&lt;=" &amp; B$2, Продажи!$F$2:$F$1002, "&gt;" &amp; B$2)</f>
        <v>0</v>
      </c>
      <c r="C24" s="67">
        <f>COUNTIFS(Продажи!$B$2:$B$1002, $A24, Продажи!$E$2:$E$1002, "&lt;=" &amp; C$2, Продажи!$F$2:$F$1002, "&gt;" &amp; C$2)</f>
        <v>0</v>
      </c>
      <c r="D24" s="67">
        <f>COUNTIFS(Продажи!$B$2:$B$1002, $A24, Продажи!$E$2:$E$1002, "&lt;=" &amp; D$2, Продажи!$F$2:$F$1002, "&gt;" &amp; D$2)</f>
        <v>0</v>
      </c>
      <c r="E24" s="67">
        <f>COUNTIFS(Продажи!$B$2:$B$1002, $A24, Продажи!$E$2:$E$1002, "&lt;=" &amp; E$2, Продажи!$F$2:$F$1002, "&gt;" &amp; E$2)</f>
        <v>0</v>
      </c>
      <c r="F24" s="67">
        <f>COUNTIFS(Продажи!$B$2:$B$1002, $A24, Продажи!$E$2:$E$1002, "&lt;=" &amp; F$2, Продажи!$F$2:$F$1002, "&gt;" &amp; F$2)</f>
        <v>0</v>
      </c>
      <c r="G24" s="67">
        <f>COUNTIFS(Продажи!$B$2:$B$1002, $A24, Продажи!$E$2:$E$1002, "&lt;=" &amp; G$2, Продажи!$F$2:$F$1002, "&gt;" &amp; G$2)</f>
        <v>0</v>
      </c>
      <c r="H24" s="67">
        <f>COUNTIFS(Продажи!$B$2:$B$1002, $A24, Продажи!$E$2:$E$1002, "&lt;=" &amp; H$2, Продажи!$F$2:$F$1002, "&gt;" &amp; H$2)</f>
        <v>0</v>
      </c>
      <c r="I24" s="67">
        <f>COUNTIFS(Продажи!$B$2:$B$1002, $A24, Продажи!$E$2:$E$1002, "&lt;=" &amp; I$2, Продажи!$F$2:$F$1002, "&gt;" &amp; I$2)</f>
        <v>0</v>
      </c>
      <c r="J24" s="67">
        <f>COUNTIFS(Продажи!$B$2:$B$1002, $A24, Продажи!$E$2:$E$1002, "&lt;=" &amp; J$2, Продажи!$F$2:$F$1002, "&gt;" &amp; J$2)</f>
        <v>0</v>
      </c>
      <c r="K24" s="67">
        <f>COUNTIFS(Продажи!$B$2:$B$1002, $A24, Продажи!$E$2:$E$1002, "&lt;=" &amp; K$2, Продажи!$F$2:$F$1002, "&gt;" &amp; K$2)</f>
        <v>0</v>
      </c>
      <c r="L24" s="67">
        <f>COUNTIFS(Продажи!$B$2:$B$1002, $A24, Продажи!$E$2:$E$1002, "&lt;=" &amp; L$2, Продажи!$F$2:$F$1002, "&gt;" &amp; L$2)</f>
        <v>0</v>
      </c>
      <c r="M24" s="67">
        <f>COUNTIFS(Продажи!$B$2:$B$1002, $A24, Продажи!$E$2:$E$1002, "&lt;=" &amp; M$2, Продажи!$F$2:$F$1002, "&gt;" &amp; M$2)</f>
        <v>0</v>
      </c>
      <c r="N24" s="67">
        <f>COUNTIFS(Продажи!$B$2:$B$1002, $A24, Продажи!$E$2:$E$1002, "&lt;=" &amp; N$2, Продажи!$F$2:$F$1002, "&gt;" &amp; N$2)</f>
        <v>0</v>
      </c>
      <c r="O24" s="67">
        <f>COUNTIFS(Продажи!$B$2:$B$1002, $A24, Продажи!$E$2:$E$1002, "&lt;=" &amp; O$2, Продажи!$F$2:$F$1002, "&gt;" &amp; O$2)</f>
        <v>0</v>
      </c>
      <c r="P24" s="67">
        <f>COUNTIFS(Продажи!$B$2:$B$1002, $A24, Продажи!$E$2:$E$1002, "&lt;=" &amp; P$2, Продажи!$F$2:$F$1002, "&gt;" &amp; P$2)</f>
        <v>0</v>
      </c>
      <c r="Q24" s="67">
        <f>COUNTIFS(Продажи!$B$2:$B$1002, $A24, Продажи!$E$2:$E$1002, "&lt;=" &amp; Q$2, Продажи!$F$2:$F$1002, "&gt;" &amp; Q$2)</f>
        <v>0</v>
      </c>
      <c r="R24" s="67">
        <f>COUNTIFS(Продажи!$B$2:$B$1002, $A24, Продажи!$E$2:$E$1002, "&lt;=" &amp; R$2, Продажи!$F$2:$F$1002, "&gt;" &amp; R$2)</f>
        <v>0</v>
      </c>
      <c r="S24" s="67">
        <f>COUNTIFS(Продажи!$B$2:$B$1002, $A24, Продажи!$E$2:$E$1002, "&lt;=" &amp; S$2, Продажи!$F$2:$F$1002, "&gt;" &amp; S$2)</f>
        <v>0</v>
      </c>
      <c r="T24" s="67">
        <f>COUNTIFS(Продажи!$B$2:$B$1002, $A24, Продажи!$E$2:$E$1002, "&lt;=" &amp; T$2, Продажи!$F$2:$F$1002, "&gt;" &amp; T$2)</f>
        <v>0</v>
      </c>
      <c r="U24" s="67">
        <f>COUNTIFS(Продажи!$B$2:$B$1002, $A24, Продажи!$E$2:$E$1002, "&lt;=" &amp; U$2, Продажи!$F$2:$F$1002, "&gt;" &amp; U$2)</f>
        <v>0</v>
      </c>
      <c r="V24" s="67">
        <f>COUNTIFS(Продажи!$B$2:$B$1002, $A24, Продажи!$E$2:$E$1002, "&lt;=" &amp; V$2, Продажи!$F$2:$F$1002, "&gt;" &amp; V$2)</f>
        <v>0</v>
      </c>
      <c r="W24" s="67">
        <f>COUNTIFS(Продажи!$B$2:$B$1002, $A24, Продажи!$E$2:$E$1002, "&lt;=" &amp; W$2, Продажи!$F$2:$F$1002, "&gt;" &amp; W$2)</f>
        <v>0</v>
      </c>
      <c r="X24" s="67">
        <f>COUNTIFS(Продажи!$B$2:$B$1002, $A24, Продажи!$E$2:$E$1002, "&lt;=" &amp; X$2, Продажи!$F$2:$F$1002, "&gt;" &amp; X$2)</f>
        <v>0</v>
      </c>
      <c r="Y24" s="67">
        <f>COUNTIFS(Продажи!$B$2:$B$1002, $A24, Продажи!$E$2:$E$1002, "&lt;=" &amp; Y$2, Продажи!$F$2:$F$1002, "&gt;" &amp; Y$2)</f>
        <v>0</v>
      </c>
      <c r="Z24" s="67">
        <f>COUNTIFS(Продажи!$B$2:$B$1002, $A24, Продажи!$E$2:$E$1002, "&lt;=" &amp; Z$2, Продажи!$F$2:$F$1002, "&gt;" &amp; Z$2)</f>
        <v>0</v>
      </c>
      <c r="AA24" s="67">
        <f>COUNTIFS(Продажи!$B$2:$B$1002, $A24, Продажи!$E$2:$E$1002, "&lt;=" &amp; AA$2, Продажи!$F$2:$F$1002, "&gt;" &amp; AA$2)</f>
        <v>0</v>
      </c>
      <c r="AB24" s="67">
        <f>COUNTIFS(Продажи!$B$2:$B$1002, $A24, Продажи!$E$2:$E$1002, "&lt;=" &amp; AB$2, Продажи!$F$2:$F$1002, "&gt;" &amp; AB$2)</f>
        <v>0</v>
      </c>
      <c r="AC24" s="67">
        <f>COUNTIFS(Продажи!$B$2:$B$1002, $A24, Продажи!$E$2:$E$1002, "&lt;=" &amp; AC$2, Продажи!$F$2:$F$1002, "&gt;" &amp; AC$2)</f>
        <v>0</v>
      </c>
      <c r="AD24" s="67">
        <f>COUNTIFS(Продажи!$B$2:$B$1002, $A24, Продажи!$E$2:$E$1002, "&lt;=" &amp; AD$2, Продажи!$F$2:$F$1002, "&gt;" &amp; AD$2)</f>
        <v>0</v>
      </c>
      <c r="AE24" s="67">
        <f t="shared" si="0"/>
        <v>0</v>
      </c>
      <c r="AF24" s="64" t="str">
        <f ca="1">IF(SUM(OFFSET($B24,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4" s="98">
        <f>VLOOKUP(A24,ID_купе[],2,0)</f>
        <v>6</v>
      </c>
      <c r="AH24" s="132" t="str">
        <f t="shared" ca="1" si="1"/>
        <v>Целое купе/отсек</v>
      </c>
    </row>
    <row r="25" spans="1:34" x14ac:dyDescent="0.25">
      <c r="A25" s="68">
        <v>23</v>
      </c>
      <c r="B25" s="67">
        <f>COUNTIFS(Продажи!$B$2:$B$1002, $A25, Продажи!$E$2:$E$1002, "&lt;=" &amp; B$2, Продажи!$F$2:$F$1002, "&gt;" &amp; B$2)</f>
        <v>0</v>
      </c>
      <c r="C25" s="67">
        <f>COUNTIFS(Продажи!$B$2:$B$1002, $A25, Продажи!$E$2:$E$1002, "&lt;=" &amp; C$2, Продажи!$F$2:$F$1002, "&gt;" &amp; C$2)</f>
        <v>0</v>
      </c>
      <c r="D25" s="67">
        <f>COUNTIFS(Продажи!$B$2:$B$1002, $A25, Продажи!$E$2:$E$1002, "&lt;=" &amp; D$2, Продажи!$F$2:$F$1002, "&gt;" &amp; D$2)</f>
        <v>0</v>
      </c>
      <c r="E25" s="67">
        <f>COUNTIFS(Продажи!$B$2:$B$1002, $A25, Продажи!$E$2:$E$1002, "&lt;=" &amp; E$2, Продажи!$F$2:$F$1002, "&gt;" &amp; E$2)</f>
        <v>0</v>
      </c>
      <c r="F25" s="67">
        <f>COUNTIFS(Продажи!$B$2:$B$1002, $A25, Продажи!$E$2:$E$1002, "&lt;=" &amp; F$2, Продажи!$F$2:$F$1002, "&gt;" &amp; F$2)</f>
        <v>0</v>
      </c>
      <c r="G25" s="67">
        <f>COUNTIFS(Продажи!$B$2:$B$1002, $A25, Продажи!$E$2:$E$1002, "&lt;=" &amp; G$2, Продажи!$F$2:$F$1002, "&gt;" &amp; G$2)</f>
        <v>0</v>
      </c>
      <c r="H25" s="67">
        <f>COUNTIFS(Продажи!$B$2:$B$1002, $A25, Продажи!$E$2:$E$1002, "&lt;=" &amp; H$2, Продажи!$F$2:$F$1002, "&gt;" &amp; H$2)</f>
        <v>0</v>
      </c>
      <c r="I25" s="67">
        <f>COUNTIFS(Продажи!$B$2:$B$1002, $A25, Продажи!$E$2:$E$1002, "&lt;=" &amp; I$2, Продажи!$F$2:$F$1002, "&gt;" &amp; I$2)</f>
        <v>0</v>
      </c>
      <c r="J25" s="67">
        <f>COUNTIFS(Продажи!$B$2:$B$1002, $A25, Продажи!$E$2:$E$1002, "&lt;=" &amp; J$2, Продажи!$F$2:$F$1002, "&gt;" &amp; J$2)</f>
        <v>0</v>
      </c>
      <c r="K25" s="67">
        <f>COUNTIFS(Продажи!$B$2:$B$1002, $A25, Продажи!$E$2:$E$1002, "&lt;=" &amp; K$2, Продажи!$F$2:$F$1002, "&gt;" &amp; K$2)</f>
        <v>0</v>
      </c>
      <c r="L25" s="67">
        <f>COUNTIFS(Продажи!$B$2:$B$1002, $A25, Продажи!$E$2:$E$1002, "&lt;=" &amp; L$2, Продажи!$F$2:$F$1002, "&gt;" &amp; L$2)</f>
        <v>0</v>
      </c>
      <c r="M25" s="67">
        <f>COUNTIFS(Продажи!$B$2:$B$1002, $A25, Продажи!$E$2:$E$1002, "&lt;=" &amp; M$2, Продажи!$F$2:$F$1002, "&gt;" &amp; M$2)</f>
        <v>0</v>
      </c>
      <c r="N25" s="67">
        <f>COUNTIFS(Продажи!$B$2:$B$1002, $A25, Продажи!$E$2:$E$1002, "&lt;=" &amp; N$2, Продажи!$F$2:$F$1002, "&gt;" &amp; N$2)</f>
        <v>0</v>
      </c>
      <c r="O25" s="67">
        <f>COUNTIFS(Продажи!$B$2:$B$1002, $A25, Продажи!$E$2:$E$1002, "&lt;=" &amp; O$2, Продажи!$F$2:$F$1002, "&gt;" &amp; O$2)</f>
        <v>0</v>
      </c>
      <c r="P25" s="67">
        <f>COUNTIFS(Продажи!$B$2:$B$1002, $A25, Продажи!$E$2:$E$1002, "&lt;=" &amp; P$2, Продажи!$F$2:$F$1002, "&gt;" &amp; P$2)</f>
        <v>0</v>
      </c>
      <c r="Q25" s="67">
        <f>COUNTIFS(Продажи!$B$2:$B$1002, $A25, Продажи!$E$2:$E$1002, "&lt;=" &amp; Q$2, Продажи!$F$2:$F$1002, "&gt;" &amp; Q$2)</f>
        <v>0</v>
      </c>
      <c r="R25" s="67">
        <f>COUNTIFS(Продажи!$B$2:$B$1002, $A25, Продажи!$E$2:$E$1002, "&lt;=" &amp; R$2, Продажи!$F$2:$F$1002, "&gt;" &amp; R$2)</f>
        <v>0</v>
      </c>
      <c r="S25" s="67">
        <f>COUNTIFS(Продажи!$B$2:$B$1002, $A25, Продажи!$E$2:$E$1002, "&lt;=" &amp; S$2, Продажи!$F$2:$F$1002, "&gt;" &amp; S$2)</f>
        <v>0</v>
      </c>
      <c r="T25" s="67">
        <f>COUNTIFS(Продажи!$B$2:$B$1002, $A25, Продажи!$E$2:$E$1002, "&lt;=" &amp; T$2, Продажи!$F$2:$F$1002, "&gt;" &amp; T$2)</f>
        <v>0</v>
      </c>
      <c r="U25" s="67">
        <f>COUNTIFS(Продажи!$B$2:$B$1002, $A25, Продажи!$E$2:$E$1002, "&lt;=" &amp; U$2, Продажи!$F$2:$F$1002, "&gt;" &amp; U$2)</f>
        <v>0</v>
      </c>
      <c r="V25" s="67">
        <f>COUNTIFS(Продажи!$B$2:$B$1002, $A25, Продажи!$E$2:$E$1002, "&lt;=" &amp; V$2, Продажи!$F$2:$F$1002, "&gt;" &amp; V$2)</f>
        <v>0</v>
      </c>
      <c r="W25" s="67">
        <f>COUNTIFS(Продажи!$B$2:$B$1002, $A25, Продажи!$E$2:$E$1002, "&lt;=" &amp; W$2, Продажи!$F$2:$F$1002, "&gt;" &amp; W$2)</f>
        <v>0</v>
      </c>
      <c r="X25" s="67">
        <f>COUNTIFS(Продажи!$B$2:$B$1002, $A25, Продажи!$E$2:$E$1002, "&lt;=" &amp; X$2, Продажи!$F$2:$F$1002, "&gt;" &amp; X$2)</f>
        <v>0</v>
      </c>
      <c r="Y25" s="67">
        <f>COUNTIFS(Продажи!$B$2:$B$1002, $A25, Продажи!$E$2:$E$1002, "&lt;=" &amp; Y$2, Продажи!$F$2:$F$1002, "&gt;" &amp; Y$2)</f>
        <v>0</v>
      </c>
      <c r="Z25" s="67">
        <f>COUNTIFS(Продажи!$B$2:$B$1002, $A25, Продажи!$E$2:$E$1002, "&lt;=" &amp; Z$2, Продажи!$F$2:$F$1002, "&gt;" &amp; Z$2)</f>
        <v>0</v>
      </c>
      <c r="AA25" s="67">
        <f>COUNTIFS(Продажи!$B$2:$B$1002, $A25, Продажи!$E$2:$E$1002, "&lt;=" &amp; AA$2, Продажи!$F$2:$F$1002, "&gt;" &amp; AA$2)</f>
        <v>0</v>
      </c>
      <c r="AB25" s="67">
        <f>COUNTIFS(Продажи!$B$2:$B$1002, $A25, Продажи!$E$2:$E$1002, "&lt;=" &amp; AB$2, Продажи!$F$2:$F$1002, "&gt;" &amp; AB$2)</f>
        <v>0</v>
      </c>
      <c r="AC25" s="67">
        <f>COUNTIFS(Продажи!$B$2:$B$1002, $A25, Продажи!$E$2:$E$1002, "&lt;=" &amp; AC$2, Продажи!$F$2:$F$1002, "&gt;" &amp; AC$2)</f>
        <v>0</v>
      </c>
      <c r="AD25" s="67">
        <f>COUNTIFS(Продажи!$B$2:$B$1002, $A25, Продажи!$E$2:$E$1002, "&lt;=" &amp; AD$2, Продажи!$F$2:$F$1002, "&gt;" &amp; AD$2)</f>
        <v>0</v>
      </c>
      <c r="AE25" s="67">
        <f t="shared" si="0"/>
        <v>0</v>
      </c>
      <c r="AF25" s="64" t="str">
        <f ca="1">IF(SUM(OFFSET($B25,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5" s="98">
        <f>VLOOKUP(A25,ID_купе[],2,0)</f>
        <v>6</v>
      </c>
      <c r="AH25" s="132" t="str">
        <f t="shared" ca="1" si="1"/>
        <v>Целое купе/отсек</v>
      </c>
    </row>
    <row r="26" spans="1:34" x14ac:dyDescent="0.25">
      <c r="A26" s="68">
        <v>24</v>
      </c>
      <c r="B26" s="67">
        <f>COUNTIFS(Продажи!$B$2:$B$1002, $A26, Продажи!$E$2:$E$1002, "&lt;=" &amp; B$2, Продажи!$F$2:$F$1002, "&gt;" &amp; B$2)</f>
        <v>0</v>
      </c>
      <c r="C26" s="67">
        <f>COUNTIFS(Продажи!$B$2:$B$1002, $A26, Продажи!$E$2:$E$1002, "&lt;=" &amp; C$2, Продажи!$F$2:$F$1002, "&gt;" &amp; C$2)</f>
        <v>0</v>
      </c>
      <c r="D26" s="67">
        <f>COUNTIFS(Продажи!$B$2:$B$1002, $A26, Продажи!$E$2:$E$1002, "&lt;=" &amp; D$2, Продажи!$F$2:$F$1002, "&gt;" &amp; D$2)</f>
        <v>0</v>
      </c>
      <c r="E26" s="67">
        <f>COUNTIFS(Продажи!$B$2:$B$1002, $A26, Продажи!$E$2:$E$1002, "&lt;=" &amp; E$2, Продажи!$F$2:$F$1002, "&gt;" &amp; E$2)</f>
        <v>0</v>
      </c>
      <c r="F26" s="67">
        <f>COUNTIFS(Продажи!$B$2:$B$1002, $A26, Продажи!$E$2:$E$1002, "&lt;=" &amp; F$2, Продажи!$F$2:$F$1002, "&gt;" &amp; F$2)</f>
        <v>0</v>
      </c>
      <c r="G26" s="67">
        <f>COUNTIFS(Продажи!$B$2:$B$1002, $A26, Продажи!$E$2:$E$1002, "&lt;=" &amp; G$2, Продажи!$F$2:$F$1002, "&gt;" &amp; G$2)</f>
        <v>0</v>
      </c>
      <c r="H26" s="67">
        <f>COUNTIFS(Продажи!$B$2:$B$1002, $A26, Продажи!$E$2:$E$1002, "&lt;=" &amp; H$2, Продажи!$F$2:$F$1002, "&gt;" &amp; H$2)</f>
        <v>0</v>
      </c>
      <c r="I26" s="67">
        <f>COUNTIFS(Продажи!$B$2:$B$1002, $A26, Продажи!$E$2:$E$1002, "&lt;=" &amp; I$2, Продажи!$F$2:$F$1002, "&gt;" &amp; I$2)</f>
        <v>0</v>
      </c>
      <c r="J26" s="67">
        <f>COUNTIFS(Продажи!$B$2:$B$1002, $A26, Продажи!$E$2:$E$1002, "&lt;=" &amp; J$2, Продажи!$F$2:$F$1002, "&gt;" &amp; J$2)</f>
        <v>0</v>
      </c>
      <c r="K26" s="67">
        <f>COUNTIFS(Продажи!$B$2:$B$1002, $A26, Продажи!$E$2:$E$1002, "&lt;=" &amp; K$2, Продажи!$F$2:$F$1002, "&gt;" &amp; K$2)</f>
        <v>0</v>
      </c>
      <c r="L26" s="67">
        <f>COUNTIFS(Продажи!$B$2:$B$1002, $A26, Продажи!$E$2:$E$1002, "&lt;=" &amp; L$2, Продажи!$F$2:$F$1002, "&gt;" &amp; L$2)</f>
        <v>0</v>
      </c>
      <c r="M26" s="67">
        <f>COUNTIFS(Продажи!$B$2:$B$1002, $A26, Продажи!$E$2:$E$1002, "&lt;=" &amp; M$2, Продажи!$F$2:$F$1002, "&gt;" &amp; M$2)</f>
        <v>0</v>
      </c>
      <c r="N26" s="67">
        <f>COUNTIFS(Продажи!$B$2:$B$1002, $A26, Продажи!$E$2:$E$1002, "&lt;=" &amp; N$2, Продажи!$F$2:$F$1002, "&gt;" &amp; N$2)</f>
        <v>0</v>
      </c>
      <c r="O26" s="67">
        <f>COUNTIFS(Продажи!$B$2:$B$1002, $A26, Продажи!$E$2:$E$1002, "&lt;=" &amp; O$2, Продажи!$F$2:$F$1002, "&gt;" &amp; O$2)</f>
        <v>0</v>
      </c>
      <c r="P26" s="67">
        <f>COUNTIFS(Продажи!$B$2:$B$1002, $A26, Продажи!$E$2:$E$1002, "&lt;=" &amp; P$2, Продажи!$F$2:$F$1002, "&gt;" &amp; P$2)</f>
        <v>0</v>
      </c>
      <c r="Q26" s="67">
        <f>COUNTIFS(Продажи!$B$2:$B$1002, $A26, Продажи!$E$2:$E$1002, "&lt;=" &amp; Q$2, Продажи!$F$2:$F$1002, "&gt;" &amp; Q$2)</f>
        <v>0</v>
      </c>
      <c r="R26" s="67">
        <f>COUNTIFS(Продажи!$B$2:$B$1002, $A26, Продажи!$E$2:$E$1002, "&lt;=" &amp; R$2, Продажи!$F$2:$F$1002, "&gt;" &amp; R$2)</f>
        <v>0</v>
      </c>
      <c r="S26" s="67">
        <f>COUNTIFS(Продажи!$B$2:$B$1002, $A26, Продажи!$E$2:$E$1002, "&lt;=" &amp; S$2, Продажи!$F$2:$F$1002, "&gt;" &amp; S$2)</f>
        <v>0</v>
      </c>
      <c r="T26" s="67">
        <f>COUNTIFS(Продажи!$B$2:$B$1002, $A26, Продажи!$E$2:$E$1002, "&lt;=" &amp; T$2, Продажи!$F$2:$F$1002, "&gt;" &amp; T$2)</f>
        <v>0</v>
      </c>
      <c r="U26" s="67">
        <f>COUNTIFS(Продажи!$B$2:$B$1002, $A26, Продажи!$E$2:$E$1002, "&lt;=" &amp; U$2, Продажи!$F$2:$F$1002, "&gt;" &amp; U$2)</f>
        <v>0</v>
      </c>
      <c r="V26" s="67">
        <f>COUNTIFS(Продажи!$B$2:$B$1002, $A26, Продажи!$E$2:$E$1002, "&lt;=" &amp; V$2, Продажи!$F$2:$F$1002, "&gt;" &amp; V$2)</f>
        <v>0</v>
      </c>
      <c r="W26" s="67">
        <f>COUNTIFS(Продажи!$B$2:$B$1002, $A26, Продажи!$E$2:$E$1002, "&lt;=" &amp; W$2, Продажи!$F$2:$F$1002, "&gt;" &amp; W$2)</f>
        <v>0</v>
      </c>
      <c r="X26" s="67">
        <f>COUNTIFS(Продажи!$B$2:$B$1002, $A26, Продажи!$E$2:$E$1002, "&lt;=" &amp; X$2, Продажи!$F$2:$F$1002, "&gt;" &amp; X$2)</f>
        <v>0</v>
      </c>
      <c r="Y26" s="67">
        <f>COUNTIFS(Продажи!$B$2:$B$1002, $A26, Продажи!$E$2:$E$1002, "&lt;=" &amp; Y$2, Продажи!$F$2:$F$1002, "&gt;" &amp; Y$2)</f>
        <v>0</v>
      </c>
      <c r="Z26" s="67">
        <f>COUNTIFS(Продажи!$B$2:$B$1002, $A26, Продажи!$E$2:$E$1002, "&lt;=" &amp; Z$2, Продажи!$F$2:$F$1002, "&gt;" &amp; Z$2)</f>
        <v>0</v>
      </c>
      <c r="AA26" s="67">
        <f>COUNTIFS(Продажи!$B$2:$B$1002, $A26, Продажи!$E$2:$E$1002, "&lt;=" &amp; AA$2, Продажи!$F$2:$F$1002, "&gt;" &amp; AA$2)</f>
        <v>0</v>
      </c>
      <c r="AB26" s="67">
        <f>COUNTIFS(Продажи!$B$2:$B$1002, $A26, Продажи!$E$2:$E$1002, "&lt;=" &amp; AB$2, Продажи!$F$2:$F$1002, "&gt;" &amp; AB$2)</f>
        <v>0</v>
      </c>
      <c r="AC26" s="67">
        <f>COUNTIFS(Продажи!$B$2:$B$1002, $A26, Продажи!$E$2:$E$1002, "&lt;=" &amp; AC$2, Продажи!$F$2:$F$1002, "&gt;" &amp; AC$2)</f>
        <v>0</v>
      </c>
      <c r="AD26" s="67">
        <f>COUNTIFS(Продажи!$B$2:$B$1002, $A26, Продажи!$E$2:$E$1002, "&lt;=" &amp; AD$2, Продажи!$F$2:$F$1002, "&gt;" &amp; AD$2)</f>
        <v>0</v>
      </c>
      <c r="AE26" s="67">
        <f t="shared" si="0"/>
        <v>0</v>
      </c>
      <c r="AF26" s="64" t="str">
        <f ca="1">IF(SUM(OFFSET($B26,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6" s="98">
        <f>VLOOKUP(A26,ID_купе[],2,0)</f>
        <v>6</v>
      </c>
      <c r="AH26" s="132" t="str">
        <f t="shared" ca="1" si="1"/>
        <v>Целое купе/отсек</v>
      </c>
    </row>
    <row r="27" spans="1:34" x14ac:dyDescent="0.25">
      <c r="A27" s="68">
        <v>25</v>
      </c>
      <c r="B27" s="67">
        <f>COUNTIFS(Продажи!$B$2:$B$1002, $A27, Продажи!$E$2:$E$1002, "&lt;=" &amp; B$2, Продажи!$F$2:$F$1002, "&gt;" &amp; B$2)</f>
        <v>0</v>
      </c>
      <c r="C27" s="67">
        <f>COUNTIFS(Продажи!$B$2:$B$1002, $A27, Продажи!$E$2:$E$1002, "&lt;=" &amp; C$2, Продажи!$F$2:$F$1002, "&gt;" &amp; C$2)</f>
        <v>0</v>
      </c>
      <c r="D27" s="67">
        <f>COUNTIFS(Продажи!$B$2:$B$1002, $A27, Продажи!$E$2:$E$1002, "&lt;=" &amp; D$2, Продажи!$F$2:$F$1002, "&gt;" &amp; D$2)</f>
        <v>0</v>
      </c>
      <c r="E27" s="67">
        <f>COUNTIFS(Продажи!$B$2:$B$1002, $A27, Продажи!$E$2:$E$1002, "&lt;=" &amp; E$2, Продажи!$F$2:$F$1002, "&gt;" &amp; E$2)</f>
        <v>0</v>
      </c>
      <c r="F27" s="67">
        <f>COUNTIFS(Продажи!$B$2:$B$1002, $A27, Продажи!$E$2:$E$1002, "&lt;=" &amp; F$2, Продажи!$F$2:$F$1002, "&gt;" &amp; F$2)</f>
        <v>0</v>
      </c>
      <c r="G27" s="67">
        <f>COUNTIFS(Продажи!$B$2:$B$1002, $A27, Продажи!$E$2:$E$1002, "&lt;=" &amp; G$2, Продажи!$F$2:$F$1002, "&gt;" &amp; G$2)</f>
        <v>0</v>
      </c>
      <c r="H27" s="67">
        <f>COUNTIFS(Продажи!$B$2:$B$1002, $A27, Продажи!$E$2:$E$1002, "&lt;=" &amp; H$2, Продажи!$F$2:$F$1002, "&gt;" &amp; H$2)</f>
        <v>0</v>
      </c>
      <c r="I27" s="67">
        <f>COUNTIFS(Продажи!$B$2:$B$1002, $A27, Продажи!$E$2:$E$1002, "&lt;=" &amp; I$2, Продажи!$F$2:$F$1002, "&gt;" &amp; I$2)</f>
        <v>0</v>
      </c>
      <c r="J27" s="67">
        <f>COUNTIFS(Продажи!$B$2:$B$1002, $A27, Продажи!$E$2:$E$1002, "&lt;=" &amp; J$2, Продажи!$F$2:$F$1002, "&gt;" &amp; J$2)</f>
        <v>0</v>
      </c>
      <c r="K27" s="67">
        <f>COUNTIFS(Продажи!$B$2:$B$1002, $A27, Продажи!$E$2:$E$1002, "&lt;=" &amp; K$2, Продажи!$F$2:$F$1002, "&gt;" &amp; K$2)</f>
        <v>0</v>
      </c>
      <c r="L27" s="67">
        <f>COUNTIFS(Продажи!$B$2:$B$1002, $A27, Продажи!$E$2:$E$1002, "&lt;=" &amp; L$2, Продажи!$F$2:$F$1002, "&gt;" &amp; L$2)</f>
        <v>0</v>
      </c>
      <c r="M27" s="67">
        <f>COUNTIFS(Продажи!$B$2:$B$1002, $A27, Продажи!$E$2:$E$1002, "&lt;=" &amp; M$2, Продажи!$F$2:$F$1002, "&gt;" &amp; M$2)</f>
        <v>0</v>
      </c>
      <c r="N27" s="67">
        <f>COUNTIFS(Продажи!$B$2:$B$1002, $A27, Продажи!$E$2:$E$1002, "&lt;=" &amp; N$2, Продажи!$F$2:$F$1002, "&gt;" &amp; N$2)</f>
        <v>0</v>
      </c>
      <c r="O27" s="67">
        <f>COUNTIFS(Продажи!$B$2:$B$1002, $A27, Продажи!$E$2:$E$1002, "&lt;=" &amp; O$2, Продажи!$F$2:$F$1002, "&gt;" &amp; O$2)</f>
        <v>0</v>
      </c>
      <c r="P27" s="67">
        <f>COUNTIFS(Продажи!$B$2:$B$1002, $A27, Продажи!$E$2:$E$1002, "&lt;=" &amp; P$2, Продажи!$F$2:$F$1002, "&gt;" &amp; P$2)</f>
        <v>0</v>
      </c>
      <c r="Q27" s="67">
        <f>COUNTIFS(Продажи!$B$2:$B$1002, $A27, Продажи!$E$2:$E$1002, "&lt;=" &amp; Q$2, Продажи!$F$2:$F$1002, "&gt;" &amp; Q$2)</f>
        <v>0</v>
      </c>
      <c r="R27" s="67">
        <f>COUNTIFS(Продажи!$B$2:$B$1002, $A27, Продажи!$E$2:$E$1002, "&lt;=" &amp; R$2, Продажи!$F$2:$F$1002, "&gt;" &amp; R$2)</f>
        <v>0</v>
      </c>
      <c r="S27" s="67">
        <f>COUNTIFS(Продажи!$B$2:$B$1002, $A27, Продажи!$E$2:$E$1002, "&lt;=" &amp; S$2, Продажи!$F$2:$F$1002, "&gt;" &amp; S$2)</f>
        <v>0</v>
      </c>
      <c r="T27" s="67">
        <f>COUNTIFS(Продажи!$B$2:$B$1002, $A27, Продажи!$E$2:$E$1002, "&lt;=" &amp; T$2, Продажи!$F$2:$F$1002, "&gt;" &amp; T$2)</f>
        <v>0</v>
      </c>
      <c r="U27" s="67">
        <f>COUNTIFS(Продажи!$B$2:$B$1002, $A27, Продажи!$E$2:$E$1002, "&lt;=" &amp; U$2, Продажи!$F$2:$F$1002, "&gt;" &amp; U$2)</f>
        <v>0</v>
      </c>
      <c r="V27" s="67">
        <f>COUNTIFS(Продажи!$B$2:$B$1002, $A27, Продажи!$E$2:$E$1002, "&lt;=" &amp; V$2, Продажи!$F$2:$F$1002, "&gt;" &amp; V$2)</f>
        <v>0</v>
      </c>
      <c r="W27" s="67">
        <f>COUNTIFS(Продажи!$B$2:$B$1002, $A27, Продажи!$E$2:$E$1002, "&lt;=" &amp; W$2, Продажи!$F$2:$F$1002, "&gt;" &amp; W$2)</f>
        <v>0</v>
      </c>
      <c r="X27" s="67">
        <f>COUNTIFS(Продажи!$B$2:$B$1002, $A27, Продажи!$E$2:$E$1002, "&lt;=" &amp; X$2, Продажи!$F$2:$F$1002, "&gt;" &amp; X$2)</f>
        <v>0</v>
      </c>
      <c r="Y27" s="67">
        <f>COUNTIFS(Продажи!$B$2:$B$1002, $A27, Продажи!$E$2:$E$1002, "&lt;=" &amp; Y$2, Продажи!$F$2:$F$1002, "&gt;" &amp; Y$2)</f>
        <v>0</v>
      </c>
      <c r="Z27" s="67">
        <f>COUNTIFS(Продажи!$B$2:$B$1002, $A27, Продажи!$E$2:$E$1002, "&lt;=" &amp; Z$2, Продажи!$F$2:$F$1002, "&gt;" &amp; Z$2)</f>
        <v>0</v>
      </c>
      <c r="AA27" s="67">
        <f>COUNTIFS(Продажи!$B$2:$B$1002, $A27, Продажи!$E$2:$E$1002, "&lt;=" &amp; AA$2, Продажи!$F$2:$F$1002, "&gt;" &amp; AA$2)</f>
        <v>0</v>
      </c>
      <c r="AB27" s="67">
        <f>COUNTIFS(Продажи!$B$2:$B$1002, $A27, Продажи!$E$2:$E$1002, "&lt;=" &amp; AB$2, Продажи!$F$2:$F$1002, "&gt;" &amp; AB$2)</f>
        <v>1</v>
      </c>
      <c r="AC27" s="67">
        <f>COUNTIFS(Продажи!$B$2:$B$1002, $A27, Продажи!$E$2:$E$1002, "&lt;=" &amp; AC$2, Продажи!$F$2:$F$1002, "&gt;" &amp; AC$2)</f>
        <v>1</v>
      </c>
      <c r="AD27" s="67">
        <f>COUNTIFS(Продажи!$B$2:$B$1002, $A27, Продажи!$E$2:$E$1002, "&lt;=" &amp; AD$2, Продажи!$F$2:$F$1002, "&gt;" &amp; AD$2)</f>
        <v>1</v>
      </c>
      <c r="AE27" s="67">
        <f t="shared" si="0"/>
        <v>3</v>
      </c>
      <c r="AF27" s="64" t="str">
        <f ca="1">IF(SUM(OFFSET($B27,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7" s="98">
        <f>VLOOKUP(A27,ID_купе[],2,0)</f>
        <v>7</v>
      </c>
      <c r="AH27" s="132" t="str">
        <f t="shared" ca="1" si="1"/>
        <v>Целое купе/отсек</v>
      </c>
    </row>
    <row r="28" spans="1:34" x14ac:dyDescent="0.25">
      <c r="A28" s="68">
        <v>26</v>
      </c>
      <c r="B28" s="67">
        <f>COUNTIFS(Продажи!$B$2:$B$1002, $A28, Продажи!$E$2:$E$1002, "&lt;=" &amp; B$2, Продажи!$F$2:$F$1002, "&gt;" &amp; B$2)</f>
        <v>0</v>
      </c>
      <c r="C28" s="67">
        <f>COUNTIFS(Продажи!$B$2:$B$1002, $A28, Продажи!$E$2:$E$1002, "&lt;=" &amp; C$2, Продажи!$F$2:$F$1002, "&gt;" &amp; C$2)</f>
        <v>0</v>
      </c>
      <c r="D28" s="67">
        <f>COUNTIFS(Продажи!$B$2:$B$1002, $A28, Продажи!$E$2:$E$1002, "&lt;=" &amp; D$2, Продажи!$F$2:$F$1002, "&gt;" &amp; D$2)</f>
        <v>0</v>
      </c>
      <c r="E28" s="67">
        <f>COUNTIFS(Продажи!$B$2:$B$1002, $A28, Продажи!$E$2:$E$1002, "&lt;=" &amp; E$2, Продажи!$F$2:$F$1002, "&gt;" &amp; E$2)</f>
        <v>0</v>
      </c>
      <c r="F28" s="67">
        <f>COUNTIFS(Продажи!$B$2:$B$1002, $A28, Продажи!$E$2:$E$1002, "&lt;=" &amp; F$2, Продажи!$F$2:$F$1002, "&gt;" &amp; F$2)</f>
        <v>0</v>
      </c>
      <c r="G28" s="67">
        <f>COUNTIFS(Продажи!$B$2:$B$1002, $A28, Продажи!$E$2:$E$1002, "&lt;=" &amp; G$2, Продажи!$F$2:$F$1002, "&gt;" &amp; G$2)</f>
        <v>0</v>
      </c>
      <c r="H28" s="67">
        <f>COUNTIFS(Продажи!$B$2:$B$1002, $A28, Продажи!$E$2:$E$1002, "&lt;=" &amp; H$2, Продажи!$F$2:$F$1002, "&gt;" &amp; H$2)</f>
        <v>0</v>
      </c>
      <c r="I28" s="67">
        <f>COUNTIFS(Продажи!$B$2:$B$1002, $A28, Продажи!$E$2:$E$1002, "&lt;=" &amp; I$2, Продажи!$F$2:$F$1002, "&gt;" &amp; I$2)</f>
        <v>0</v>
      </c>
      <c r="J28" s="67">
        <f>COUNTIFS(Продажи!$B$2:$B$1002, $A28, Продажи!$E$2:$E$1002, "&lt;=" &amp; J$2, Продажи!$F$2:$F$1002, "&gt;" &amp; J$2)</f>
        <v>0</v>
      </c>
      <c r="K28" s="67">
        <f>COUNTIFS(Продажи!$B$2:$B$1002, $A28, Продажи!$E$2:$E$1002, "&lt;=" &amp; K$2, Продажи!$F$2:$F$1002, "&gt;" &amp; K$2)</f>
        <v>0</v>
      </c>
      <c r="L28" s="67">
        <f>COUNTIFS(Продажи!$B$2:$B$1002, $A28, Продажи!$E$2:$E$1002, "&lt;=" &amp; L$2, Продажи!$F$2:$F$1002, "&gt;" &amp; L$2)</f>
        <v>0</v>
      </c>
      <c r="M28" s="67">
        <f>COUNTIFS(Продажи!$B$2:$B$1002, $A28, Продажи!$E$2:$E$1002, "&lt;=" &amp; M$2, Продажи!$F$2:$F$1002, "&gt;" &amp; M$2)</f>
        <v>0</v>
      </c>
      <c r="N28" s="67">
        <f>COUNTIFS(Продажи!$B$2:$B$1002, $A28, Продажи!$E$2:$E$1002, "&lt;=" &amp; N$2, Продажи!$F$2:$F$1002, "&gt;" &amp; N$2)</f>
        <v>0</v>
      </c>
      <c r="O28" s="67">
        <f>COUNTIFS(Продажи!$B$2:$B$1002, $A28, Продажи!$E$2:$E$1002, "&lt;=" &amp; O$2, Продажи!$F$2:$F$1002, "&gt;" &amp; O$2)</f>
        <v>0</v>
      </c>
      <c r="P28" s="67">
        <f>COUNTIFS(Продажи!$B$2:$B$1002, $A28, Продажи!$E$2:$E$1002, "&lt;=" &amp; P$2, Продажи!$F$2:$F$1002, "&gt;" &amp; P$2)</f>
        <v>0</v>
      </c>
      <c r="Q28" s="67">
        <f>COUNTIFS(Продажи!$B$2:$B$1002, $A28, Продажи!$E$2:$E$1002, "&lt;=" &amp; Q$2, Продажи!$F$2:$F$1002, "&gt;" &amp; Q$2)</f>
        <v>0</v>
      </c>
      <c r="R28" s="67">
        <f>COUNTIFS(Продажи!$B$2:$B$1002, $A28, Продажи!$E$2:$E$1002, "&lt;=" &amp; R$2, Продажи!$F$2:$F$1002, "&gt;" &amp; R$2)</f>
        <v>0</v>
      </c>
      <c r="S28" s="67">
        <f>COUNTIFS(Продажи!$B$2:$B$1002, $A28, Продажи!$E$2:$E$1002, "&lt;=" &amp; S$2, Продажи!$F$2:$F$1002, "&gt;" &amp; S$2)</f>
        <v>0</v>
      </c>
      <c r="T28" s="67">
        <f>COUNTIFS(Продажи!$B$2:$B$1002, $A28, Продажи!$E$2:$E$1002, "&lt;=" &amp; T$2, Продажи!$F$2:$F$1002, "&gt;" &amp; T$2)</f>
        <v>0</v>
      </c>
      <c r="U28" s="67">
        <f>COUNTIFS(Продажи!$B$2:$B$1002, $A28, Продажи!$E$2:$E$1002, "&lt;=" &amp; U$2, Продажи!$F$2:$F$1002, "&gt;" &amp; U$2)</f>
        <v>0</v>
      </c>
      <c r="V28" s="67">
        <f>COUNTIFS(Продажи!$B$2:$B$1002, $A28, Продажи!$E$2:$E$1002, "&lt;=" &amp; V$2, Продажи!$F$2:$F$1002, "&gt;" &amp; V$2)</f>
        <v>0</v>
      </c>
      <c r="W28" s="67">
        <f>COUNTIFS(Продажи!$B$2:$B$1002, $A28, Продажи!$E$2:$E$1002, "&lt;=" &amp; W$2, Продажи!$F$2:$F$1002, "&gt;" &amp; W$2)</f>
        <v>0</v>
      </c>
      <c r="X28" s="67">
        <f>COUNTIFS(Продажи!$B$2:$B$1002, $A28, Продажи!$E$2:$E$1002, "&lt;=" &amp; X$2, Продажи!$F$2:$F$1002, "&gt;" &amp; X$2)</f>
        <v>0</v>
      </c>
      <c r="Y28" s="67">
        <f>COUNTIFS(Продажи!$B$2:$B$1002, $A28, Продажи!$E$2:$E$1002, "&lt;=" &amp; Y$2, Продажи!$F$2:$F$1002, "&gt;" &amp; Y$2)</f>
        <v>0</v>
      </c>
      <c r="Z28" s="67">
        <f>COUNTIFS(Продажи!$B$2:$B$1002, $A28, Продажи!$E$2:$E$1002, "&lt;=" &amp; Z$2, Продажи!$F$2:$F$1002, "&gt;" &amp; Z$2)</f>
        <v>0</v>
      </c>
      <c r="AA28" s="67">
        <f>COUNTIFS(Продажи!$B$2:$B$1002, $A28, Продажи!$E$2:$E$1002, "&lt;=" &amp; AA$2, Продажи!$F$2:$F$1002, "&gt;" &amp; AA$2)</f>
        <v>0</v>
      </c>
      <c r="AB28" s="67">
        <f>COUNTIFS(Продажи!$B$2:$B$1002, $A28, Продажи!$E$2:$E$1002, "&lt;=" &amp; AB$2, Продажи!$F$2:$F$1002, "&gt;" &amp; AB$2)</f>
        <v>0</v>
      </c>
      <c r="AC28" s="67">
        <f>COUNTIFS(Продажи!$B$2:$B$1002, $A28, Продажи!$E$2:$E$1002, "&lt;=" &amp; AC$2, Продажи!$F$2:$F$1002, "&gt;" &amp; AC$2)</f>
        <v>0</v>
      </c>
      <c r="AD28" s="67">
        <f>COUNTIFS(Продажи!$B$2:$B$1002, $A28, Продажи!$E$2:$E$1002, "&lt;=" &amp; AD$2, Продажи!$F$2:$F$1002, "&gt;" &amp; AD$2)</f>
        <v>0</v>
      </c>
      <c r="AE28" s="67">
        <f t="shared" si="0"/>
        <v>0</v>
      </c>
      <c r="AF28" s="64" t="str">
        <f ca="1">IF(SUM(OFFSET($B28,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8" s="98">
        <f>VLOOKUP(A28,ID_купе[],2,0)</f>
        <v>7</v>
      </c>
      <c r="AH28" s="132" t="str">
        <f t="shared" ca="1" si="1"/>
        <v>Целое купе/отсек</v>
      </c>
    </row>
    <row r="29" spans="1:34" x14ac:dyDescent="0.25">
      <c r="A29" s="68">
        <v>27</v>
      </c>
      <c r="B29" s="67">
        <f>COUNTIFS(Продажи!$B$2:$B$1002, $A29, Продажи!$E$2:$E$1002, "&lt;=" &amp; B$2, Продажи!$F$2:$F$1002, "&gt;" &amp; B$2)</f>
        <v>0</v>
      </c>
      <c r="C29" s="67">
        <f>COUNTIFS(Продажи!$B$2:$B$1002, $A29, Продажи!$E$2:$E$1002, "&lt;=" &amp; C$2, Продажи!$F$2:$F$1002, "&gt;" &amp; C$2)</f>
        <v>0</v>
      </c>
      <c r="D29" s="67">
        <f>COUNTIFS(Продажи!$B$2:$B$1002, $A29, Продажи!$E$2:$E$1002, "&lt;=" &amp; D$2, Продажи!$F$2:$F$1002, "&gt;" &amp; D$2)</f>
        <v>0</v>
      </c>
      <c r="E29" s="67">
        <f>COUNTIFS(Продажи!$B$2:$B$1002, $A29, Продажи!$E$2:$E$1002, "&lt;=" &amp; E$2, Продажи!$F$2:$F$1002, "&gt;" &amp; E$2)</f>
        <v>0</v>
      </c>
      <c r="F29" s="67">
        <f>COUNTIFS(Продажи!$B$2:$B$1002, $A29, Продажи!$E$2:$E$1002, "&lt;=" &amp; F$2, Продажи!$F$2:$F$1002, "&gt;" &amp; F$2)</f>
        <v>0</v>
      </c>
      <c r="G29" s="67">
        <f>COUNTIFS(Продажи!$B$2:$B$1002, $A29, Продажи!$E$2:$E$1002, "&lt;=" &amp; G$2, Продажи!$F$2:$F$1002, "&gt;" &amp; G$2)</f>
        <v>0</v>
      </c>
      <c r="H29" s="67">
        <f>COUNTIFS(Продажи!$B$2:$B$1002, $A29, Продажи!$E$2:$E$1002, "&lt;=" &amp; H$2, Продажи!$F$2:$F$1002, "&gt;" &amp; H$2)</f>
        <v>0</v>
      </c>
      <c r="I29" s="67">
        <f>COUNTIFS(Продажи!$B$2:$B$1002, $A29, Продажи!$E$2:$E$1002, "&lt;=" &amp; I$2, Продажи!$F$2:$F$1002, "&gt;" &amp; I$2)</f>
        <v>0</v>
      </c>
      <c r="J29" s="67">
        <f>COUNTIFS(Продажи!$B$2:$B$1002, $A29, Продажи!$E$2:$E$1002, "&lt;=" &amp; J$2, Продажи!$F$2:$F$1002, "&gt;" &amp; J$2)</f>
        <v>0</v>
      </c>
      <c r="K29" s="67">
        <f>COUNTIFS(Продажи!$B$2:$B$1002, $A29, Продажи!$E$2:$E$1002, "&lt;=" &amp; K$2, Продажи!$F$2:$F$1002, "&gt;" &amp; K$2)</f>
        <v>0</v>
      </c>
      <c r="L29" s="67">
        <f>COUNTIFS(Продажи!$B$2:$B$1002, $A29, Продажи!$E$2:$E$1002, "&lt;=" &amp; L$2, Продажи!$F$2:$F$1002, "&gt;" &amp; L$2)</f>
        <v>0</v>
      </c>
      <c r="M29" s="67">
        <f>COUNTIFS(Продажи!$B$2:$B$1002, $A29, Продажи!$E$2:$E$1002, "&lt;=" &amp; M$2, Продажи!$F$2:$F$1002, "&gt;" &amp; M$2)</f>
        <v>0</v>
      </c>
      <c r="N29" s="67">
        <f>COUNTIFS(Продажи!$B$2:$B$1002, $A29, Продажи!$E$2:$E$1002, "&lt;=" &amp; N$2, Продажи!$F$2:$F$1002, "&gt;" &amp; N$2)</f>
        <v>0</v>
      </c>
      <c r="O29" s="67">
        <f>COUNTIFS(Продажи!$B$2:$B$1002, $A29, Продажи!$E$2:$E$1002, "&lt;=" &amp; O$2, Продажи!$F$2:$F$1002, "&gt;" &amp; O$2)</f>
        <v>0</v>
      </c>
      <c r="P29" s="67">
        <f>COUNTIFS(Продажи!$B$2:$B$1002, $A29, Продажи!$E$2:$E$1002, "&lt;=" &amp; P$2, Продажи!$F$2:$F$1002, "&gt;" &amp; P$2)</f>
        <v>0</v>
      </c>
      <c r="Q29" s="67">
        <f>COUNTIFS(Продажи!$B$2:$B$1002, $A29, Продажи!$E$2:$E$1002, "&lt;=" &amp; Q$2, Продажи!$F$2:$F$1002, "&gt;" &amp; Q$2)</f>
        <v>0</v>
      </c>
      <c r="R29" s="67">
        <f>COUNTIFS(Продажи!$B$2:$B$1002, $A29, Продажи!$E$2:$E$1002, "&lt;=" &amp; R$2, Продажи!$F$2:$F$1002, "&gt;" &amp; R$2)</f>
        <v>0</v>
      </c>
      <c r="S29" s="67">
        <f>COUNTIFS(Продажи!$B$2:$B$1002, $A29, Продажи!$E$2:$E$1002, "&lt;=" &amp; S$2, Продажи!$F$2:$F$1002, "&gt;" &amp; S$2)</f>
        <v>0</v>
      </c>
      <c r="T29" s="67">
        <f>COUNTIFS(Продажи!$B$2:$B$1002, $A29, Продажи!$E$2:$E$1002, "&lt;=" &amp; T$2, Продажи!$F$2:$F$1002, "&gt;" &amp; T$2)</f>
        <v>0</v>
      </c>
      <c r="U29" s="67">
        <f>COUNTIFS(Продажи!$B$2:$B$1002, $A29, Продажи!$E$2:$E$1002, "&lt;=" &amp; U$2, Продажи!$F$2:$F$1002, "&gt;" &amp; U$2)</f>
        <v>0</v>
      </c>
      <c r="V29" s="67">
        <f>COUNTIFS(Продажи!$B$2:$B$1002, $A29, Продажи!$E$2:$E$1002, "&lt;=" &amp; V$2, Продажи!$F$2:$F$1002, "&gt;" &amp; V$2)</f>
        <v>0</v>
      </c>
      <c r="W29" s="67">
        <f>COUNTIFS(Продажи!$B$2:$B$1002, $A29, Продажи!$E$2:$E$1002, "&lt;=" &amp; W$2, Продажи!$F$2:$F$1002, "&gt;" &amp; W$2)</f>
        <v>0</v>
      </c>
      <c r="X29" s="67">
        <f>COUNTIFS(Продажи!$B$2:$B$1002, $A29, Продажи!$E$2:$E$1002, "&lt;=" &amp; X$2, Продажи!$F$2:$F$1002, "&gt;" &amp; X$2)</f>
        <v>0</v>
      </c>
      <c r="Y29" s="67">
        <f>COUNTIFS(Продажи!$B$2:$B$1002, $A29, Продажи!$E$2:$E$1002, "&lt;=" &amp; Y$2, Продажи!$F$2:$F$1002, "&gt;" &amp; Y$2)</f>
        <v>0</v>
      </c>
      <c r="Z29" s="67">
        <f>COUNTIFS(Продажи!$B$2:$B$1002, $A29, Продажи!$E$2:$E$1002, "&lt;=" &amp; Z$2, Продажи!$F$2:$F$1002, "&gt;" &amp; Z$2)</f>
        <v>0</v>
      </c>
      <c r="AA29" s="67">
        <f>COUNTIFS(Продажи!$B$2:$B$1002, $A29, Продажи!$E$2:$E$1002, "&lt;=" &amp; AA$2, Продажи!$F$2:$F$1002, "&gt;" &amp; AA$2)</f>
        <v>0</v>
      </c>
      <c r="AB29" s="67">
        <f>COUNTIFS(Продажи!$B$2:$B$1002, $A29, Продажи!$E$2:$E$1002, "&lt;=" &amp; AB$2, Продажи!$F$2:$F$1002, "&gt;" &amp; AB$2)</f>
        <v>0</v>
      </c>
      <c r="AC29" s="67">
        <f>COUNTIFS(Продажи!$B$2:$B$1002, $A29, Продажи!$E$2:$E$1002, "&lt;=" &amp; AC$2, Продажи!$F$2:$F$1002, "&gt;" &amp; AC$2)</f>
        <v>0</v>
      </c>
      <c r="AD29" s="67">
        <f>COUNTIFS(Продажи!$B$2:$B$1002, $A29, Продажи!$E$2:$E$1002, "&lt;=" &amp; AD$2, Продажи!$F$2:$F$1002, "&gt;" &amp; AD$2)</f>
        <v>0</v>
      </c>
      <c r="AE29" s="67">
        <f t="shared" si="0"/>
        <v>0</v>
      </c>
      <c r="AF29" s="64" t="str">
        <f ca="1">IF(SUM(OFFSET($B29,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29" s="98">
        <f>VLOOKUP(A29,ID_купе[],2,0)</f>
        <v>7</v>
      </c>
      <c r="AH29" s="132" t="str">
        <f t="shared" ca="1" si="1"/>
        <v>Целое купе/отсек</v>
      </c>
    </row>
    <row r="30" spans="1:34" x14ac:dyDescent="0.25">
      <c r="A30" s="68">
        <v>28</v>
      </c>
      <c r="B30" s="67">
        <f>COUNTIFS(Продажи!$B$2:$B$1002, $A30, Продажи!$E$2:$E$1002, "&lt;=" &amp; B$2, Продажи!$F$2:$F$1002, "&gt;" &amp; B$2)</f>
        <v>0</v>
      </c>
      <c r="C30" s="67">
        <f>COUNTIFS(Продажи!$B$2:$B$1002, $A30, Продажи!$E$2:$E$1002, "&lt;=" &amp; C$2, Продажи!$F$2:$F$1002, "&gt;" &amp; C$2)</f>
        <v>0</v>
      </c>
      <c r="D30" s="67">
        <f>COUNTIFS(Продажи!$B$2:$B$1002, $A30, Продажи!$E$2:$E$1002, "&lt;=" &amp; D$2, Продажи!$F$2:$F$1002, "&gt;" &amp; D$2)</f>
        <v>0</v>
      </c>
      <c r="E30" s="67">
        <f>COUNTIFS(Продажи!$B$2:$B$1002, $A30, Продажи!$E$2:$E$1002, "&lt;=" &amp; E$2, Продажи!$F$2:$F$1002, "&gt;" &amp; E$2)</f>
        <v>0</v>
      </c>
      <c r="F30" s="67">
        <f>COUNTIFS(Продажи!$B$2:$B$1002, $A30, Продажи!$E$2:$E$1002, "&lt;=" &amp; F$2, Продажи!$F$2:$F$1002, "&gt;" &amp; F$2)</f>
        <v>0</v>
      </c>
      <c r="G30" s="67">
        <f>COUNTIFS(Продажи!$B$2:$B$1002, $A30, Продажи!$E$2:$E$1002, "&lt;=" &amp; G$2, Продажи!$F$2:$F$1002, "&gt;" &amp; G$2)</f>
        <v>0</v>
      </c>
      <c r="H30" s="67">
        <f>COUNTIFS(Продажи!$B$2:$B$1002, $A30, Продажи!$E$2:$E$1002, "&lt;=" &amp; H$2, Продажи!$F$2:$F$1002, "&gt;" &amp; H$2)</f>
        <v>0</v>
      </c>
      <c r="I30" s="67">
        <f>COUNTIFS(Продажи!$B$2:$B$1002, $A30, Продажи!$E$2:$E$1002, "&lt;=" &amp; I$2, Продажи!$F$2:$F$1002, "&gt;" &amp; I$2)</f>
        <v>0</v>
      </c>
      <c r="J30" s="67">
        <f>COUNTIFS(Продажи!$B$2:$B$1002, $A30, Продажи!$E$2:$E$1002, "&lt;=" &amp; J$2, Продажи!$F$2:$F$1002, "&gt;" &amp; J$2)</f>
        <v>0</v>
      </c>
      <c r="K30" s="67">
        <f>COUNTIFS(Продажи!$B$2:$B$1002, $A30, Продажи!$E$2:$E$1002, "&lt;=" &amp; K$2, Продажи!$F$2:$F$1002, "&gt;" &amp; K$2)</f>
        <v>0</v>
      </c>
      <c r="L30" s="67">
        <f>COUNTIFS(Продажи!$B$2:$B$1002, $A30, Продажи!$E$2:$E$1002, "&lt;=" &amp; L$2, Продажи!$F$2:$F$1002, "&gt;" &amp; L$2)</f>
        <v>0</v>
      </c>
      <c r="M30" s="67">
        <f>COUNTIFS(Продажи!$B$2:$B$1002, $A30, Продажи!$E$2:$E$1002, "&lt;=" &amp; M$2, Продажи!$F$2:$F$1002, "&gt;" &amp; M$2)</f>
        <v>0</v>
      </c>
      <c r="N30" s="67">
        <f>COUNTIFS(Продажи!$B$2:$B$1002, $A30, Продажи!$E$2:$E$1002, "&lt;=" &amp; N$2, Продажи!$F$2:$F$1002, "&gt;" &amp; N$2)</f>
        <v>0</v>
      </c>
      <c r="O30" s="67">
        <f>COUNTIFS(Продажи!$B$2:$B$1002, $A30, Продажи!$E$2:$E$1002, "&lt;=" &amp; O$2, Продажи!$F$2:$F$1002, "&gt;" &amp; O$2)</f>
        <v>0</v>
      </c>
      <c r="P30" s="67">
        <f>COUNTIFS(Продажи!$B$2:$B$1002, $A30, Продажи!$E$2:$E$1002, "&lt;=" &amp; P$2, Продажи!$F$2:$F$1002, "&gt;" &amp; P$2)</f>
        <v>0</v>
      </c>
      <c r="Q30" s="67">
        <f>COUNTIFS(Продажи!$B$2:$B$1002, $A30, Продажи!$E$2:$E$1002, "&lt;=" &amp; Q$2, Продажи!$F$2:$F$1002, "&gt;" &amp; Q$2)</f>
        <v>0</v>
      </c>
      <c r="R30" s="67">
        <f>COUNTIFS(Продажи!$B$2:$B$1002, $A30, Продажи!$E$2:$E$1002, "&lt;=" &amp; R$2, Продажи!$F$2:$F$1002, "&gt;" &amp; R$2)</f>
        <v>0</v>
      </c>
      <c r="S30" s="67">
        <f>COUNTIFS(Продажи!$B$2:$B$1002, $A30, Продажи!$E$2:$E$1002, "&lt;=" &amp; S$2, Продажи!$F$2:$F$1002, "&gt;" &amp; S$2)</f>
        <v>0</v>
      </c>
      <c r="T30" s="67">
        <f>COUNTIFS(Продажи!$B$2:$B$1002, $A30, Продажи!$E$2:$E$1002, "&lt;=" &amp; T$2, Продажи!$F$2:$F$1002, "&gt;" &amp; T$2)</f>
        <v>0</v>
      </c>
      <c r="U30" s="67">
        <f>COUNTIFS(Продажи!$B$2:$B$1002, $A30, Продажи!$E$2:$E$1002, "&lt;=" &amp; U$2, Продажи!$F$2:$F$1002, "&gt;" &amp; U$2)</f>
        <v>0</v>
      </c>
      <c r="V30" s="67">
        <f>COUNTIFS(Продажи!$B$2:$B$1002, $A30, Продажи!$E$2:$E$1002, "&lt;=" &amp; V$2, Продажи!$F$2:$F$1002, "&gt;" &amp; V$2)</f>
        <v>0</v>
      </c>
      <c r="W30" s="67">
        <f>COUNTIFS(Продажи!$B$2:$B$1002, $A30, Продажи!$E$2:$E$1002, "&lt;=" &amp; W$2, Продажи!$F$2:$F$1002, "&gt;" &amp; W$2)</f>
        <v>0</v>
      </c>
      <c r="X30" s="67">
        <f>COUNTIFS(Продажи!$B$2:$B$1002, $A30, Продажи!$E$2:$E$1002, "&lt;=" &amp; X$2, Продажи!$F$2:$F$1002, "&gt;" &amp; X$2)</f>
        <v>0</v>
      </c>
      <c r="Y30" s="67">
        <f>COUNTIFS(Продажи!$B$2:$B$1002, $A30, Продажи!$E$2:$E$1002, "&lt;=" &amp; Y$2, Продажи!$F$2:$F$1002, "&gt;" &amp; Y$2)</f>
        <v>0</v>
      </c>
      <c r="Z30" s="67">
        <f>COUNTIFS(Продажи!$B$2:$B$1002, $A30, Продажи!$E$2:$E$1002, "&lt;=" &amp; Z$2, Продажи!$F$2:$F$1002, "&gt;" &amp; Z$2)</f>
        <v>0</v>
      </c>
      <c r="AA30" s="67">
        <f>COUNTIFS(Продажи!$B$2:$B$1002, $A30, Продажи!$E$2:$E$1002, "&lt;=" &amp; AA$2, Продажи!$F$2:$F$1002, "&gt;" &amp; AA$2)</f>
        <v>0</v>
      </c>
      <c r="AB30" s="67">
        <f>COUNTIFS(Продажи!$B$2:$B$1002, $A30, Продажи!$E$2:$E$1002, "&lt;=" &amp; AB$2, Продажи!$F$2:$F$1002, "&gt;" &amp; AB$2)</f>
        <v>0</v>
      </c>
      <c r="AC30" s="67">
        <f>COUNTIFS(Продажи!$B$2:$B$1002, $A30, Продажи!$E$2:$E$1002, "&lt;=" &amp; AC$2, Продажи!$F$2:$F$1002, "&gt;" &amp; AC$2)</f>
        <v>0</v>
      </c>
      <c r="AD30" s="67">
        <f>COUNTIFS(Продажи!$B$2:$B$1002, $A30, Продажи!$E$2:$E$1002, "&lt;=" &amp; AD$2, Продажи!$F$2:$F$1002, "&gt;" &amp; AD$2)</f>
        <v>0</v>
      </c>
      <c r="AE30" s="67">
        <f t="shared" si="0"/>
        <v>0</v>
      </c>
      <c r="AF30" s="64" t="str">
        <f ca="1">IF(SUM(OFFSET($B30,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0" s="98">
        <f>VLOOKUP(A30,ID_купе[],2,0)</f>
        <v>7</v>
      </c>
      <c r="AH30" s="132" t="str">
        <f t="shared" ca="1" si="1"/>
        <v>Целое купе/отсек</v>
      </c>
    </row>
    <row r="31" spans="1:34" x14ac:dyDescent="0.25">
      <c r="A31" s="68">
        <v>29</v>
      </c>
      <c r="B31" s="67">
        <f>COUNTIFS(Продажи!$B$2:$B$1002, $A31, Продажи!$E$2:$E$1002, "&lt;=" &amp; B$2, Продажи!$F$2:$F$1002, "&gt;" &amp; B$2)</f>
        <v>0</v>
      </c>
      <c r="C31" s="67">
        <f>COUNTIFS(Продажи!$B$2:$B$1002, $A31, Продажи!$E$2:$E$1002, "&lt;=" &amp; C$2, Продажи!$F$2:$F$1002, "&gt;" &amp; C$2)</f>
        <v>0</v>
      </c>
      <c r="D31" s="67">
        <f>COUNTIFS(Продажи!$B$2:$B$1002, $A31, Продажи!$E$2:$E$1002, "&lt;=" &amp; D$2, Продажи!$F$2:$F$1002, "&gt;" &amp; D$2)</f>
        <v>0</v>
      </c>
      <c r="E31" s="67">
        <f>COUNTIFS(Продажи!$B$2:$B$1002, $A31, Продажи!$E$2:$E$1002, "&lt;=" &amp; E$2, Продажи!$F$2:$F$1002, "&gt;" &amp; E$2)</f>
        <v>0</v>
      </c>
      <c r="F31" s="67">
        <f>COUNTIFS(Продажи!$B$2:$B$1002, $A31, Продажи!$E$2:$E$1002, "&lt;=" &amp; F$2, Продажи!$F$2:$F$1002, "&gt;" &amp; F$2)</f>
        <v>0</v>
      </c>
      <c r="G31" s="67">
        <f>COUNTIFS(Продажи!$B$2:$B$1002, $A31, Продажи!$E$2:$E$1002, "&lt;=" &amp; G$2, Продажи!$F$2:$F$1002, "&gt;" &amp; G$2)</f>
        <v>0</v>
      </c>
      <c r="H31" s="67">
        <f>COUNTIFS(Продажи!$B$2:$B$1002, $A31, Продажи!$E$2:$E$1002, "&lt;=" &amp; H$2, Продажи!$F$2:$F$1002, "&gt;" &amp; H$2)</f>
        <v>0</v>
      </c>
      <c r="I31" s="67">
        <f>COUNTIFS(Продажи!$B$2:$B$1002, $A31, Продажи!$E$2:$E$1002, "&lt;=" &amp; I$2, Продажи!$F$2:$F$1002, "&gt;" &amp; I$2)</f>
        <v>0</v>
      </c>
      <c r="J31" s="67">
        <f>COUNTIFS(Продажи!$B$2:$B$1002, $A31, Продажи!$E$2:$E$1002, "&lt;=" &amp; J$2, Продажи!$F$2:$F$1002, "&gt;" &amp; J$2)</f>
        <v>0</v>
      </c>
      <c r="K31" s="67">
        <f>COUNTIFS(Продажи!$B$2:$B$1002, $A31, Продажи!$E$2:$E$1002, "&lt;=" &amp; K$2, Продажи!$F$2:$F$1002, "&gt;" &amp; K$2)</f>
        <v>0</v>
      </c>
      <c r="L31" s="67">
        <f>COUNTIFS(Продажи!$B$2:$B$1002, $A31, Продажи!$E$2:$E$1002, "&lt;=" &amp; L$2, Продажи!$F$2:$F$1002, "&gt;" &amp; L$2)</f>
        <v>0</v>
      </c>
      <c r="M31" s="67">
        <f>COUNTIFS(Продажи!$B$2:$B$1002, $A31, Продажи!$E$2:$E$1002, "&lt;=" &amp; M$2, Продажи!$F$2:$F$1002, "&gt;" &amp; M$2)</f>
        <v>0</v>
      </c>
      <c r="N31" s="67">
        <f>COUNTIFS(Продажи!$B$2:$B$1002, $A31, Продажи!$E$2:$E$1002, "&lt;=" &amp; N$2, Продажи!$F$2:$F$1002, "&gt;" &amp; N$2)</f>
        <v>0</v>
      </c>
      <c r="O31" s="67">
        <f>COUNTIFS(Продажи!$B$2:$B$1002, $A31, Продажи!$E$2:$E$1002, "&lt;=" &amp; O$2, Продажи!$F$2:$F$1002, "&gt;" &amp; O$2)</f>
        <v>0</v>
      </c>
      <c r="P31" s="67">
        <f>COUNTIFS(Продажи!$B$2:$B$1002, $A31, Продажи!$E$2:$E$1002, "&lt;=" &amp; P$2, Продажи!$F$2:$F$1002, "&gt;" &amp; P$2)</f>
        <v>0</v>
      </c>
      <c r="Q31" s="67">
        <f>COUNTIFS(Продажи!$B$2:$B$1002, $A31, Продажи!$E$2:$E$1002, "&lt;=" &amp; Q$2, Продажи!$F$2:$F$1002, "&gt;" &amp; Q$2)</f>
        <v>0</v>
      </c>
      <c r="R31" s="67">
        <f>COUNTIFS(Продажи!$B$2:$B$1002, $A31, Продажи!$E$2:$E$1002, "&lt;=" &amp; R$2, Продажи!$F$2:$F$1002, "&gt;" &amp; R$2)</f>
        <v>0</v>
      </c>
      <c r="S31" s="67">
        <f>COUNTIFS(Продажи!$B$2:$B$1002, $A31, Продажи!$E$2:$E$1002, "&lt;=" &amp; S$2, Продажи!$F$2:$F$1002, "&gt;" &amp; S$2)</f>
        <v>0</v>
      </c>
      <c r="T31" s="67">
        <f>COUNTIFS(Продажи!$B$2:$B$1002, $A31, Продажи!$E$2:$E$1002, "&lt;=" &amp; T$2, Продажи!$F$2:$F$1002, "&gt;" &amp; T$2)</f>
        <v>0</v>
      </c>
      <c r="U31" s="67">
        <f>COUNTIFS(Продажи!$B$2:$B$1002, $A31, Продажи!$E$2:$E$1002, "&lt;=" &amp; U$2, Продажи!$F$2:$F$1002, "&gt;" &amp; U$2)</f>
        <v>0</v>
      </c>
      <c r="V31" s="67">
        <f>COUNTIFS(Продажи!$B$2:$B$1002, $A31, Продажи!$E$2:$E$1002, "&lt;=" &amp; V$2, Продажи!$F$2:$F$1002, "&gt;" &amp; V$2)</f>
        <v>0</v>
      </c>
      <c r="W31" s="67">
        <f>COUNTIFS(Продажи!$B$2:$B$1002, $A31, Продажи!$E$2:$E$1002, "&lt;=" &amp; W$2, Продажи!$F$2:$F$1002, "&gt;" &amp; W$2)</f>
        <v>0</v>
      </c>
      <c r="X31" s="67">
        <f>COUNTIFS(Продажи!$B$2:$B$1002, $A31, Продажи!$E$2:$E$1002, "&lt;=" &amp; X$2, Продажи!$F$2:$F$1002, "&gt;" &amp; X$2)</f>
        <v>0</v>
      </c>
      <c r="Y31" s="67">
        <f>COUNTIFS(Продажи!$B$2:$B$1002, $A31, Продажи!$E$2:$E$1002, "&lt;=" &amp; Y$2, Продажи!$F$2:$F$1002, "&gt;" &amp; Y$2)</f>
        <v>0</v>
      </c>
      <c r="Z31" s="67">
        <f>COUNTIFS(Продажи!$B$2:$B$1002, $A31, Продажи!$E$2:$E$1002, "&lt;=" &amp; Z$2, Продажи!$F$2:$F$1002, "&gt;" &amp; Z$2)</f>
        <v>0</v>
      </c>
      <c r="AA31" s="67">
        <f>COUNTIFS(Продажи!$B$2:$B$1002, $A31, Продажи!$E$2:$E$1002, "&lt;=" &amp; AA$2, Продажи!$F$2:$F$1002, "&gt;" &amp; AA$2)</f>
        <v>0</v>
      </c>
      <c r="AB31" s="67">
        <f>COUNTIFS(Продажи!$B$2:$B$1002, $A31, Продажи!$E$2:$E$1002, "&lt;=" &amp; AB$2, Продажи!$F$2:$F$1002, "&gt;" &amp; AB$2)</f>
        <v>0</v>
      </c>
      <c r="AC31" s="67">
        <f>COUNTIFS(Продажи!$B$2:$B$1002, $A31, Продажи!$E$2:$E$1002, "&lt;=" &amp; AC$2, Продажи!$F$2:$F$1002, "&gt;" &amp; AC$2)</f>
        <v>0</v>
      </c>
      <c r="AD31" s="67">
        <f>COUNTIFS(Продажи!$B$2:$B$1002, $A31, Продажи!$E$2:$E$1002, "&lt;=" &amp; AD$2, Продажи!$F$2:$F$1002, "&gt;" &amp; AD$2)</f>
        <v>0</v>
      </c>
      <c r="AE31" s="67">
        <f t="shared" si="0"/>
        <v>0</v>
      </c>
      <c r="AF31" s="64" t="str">
        <f ca="1">IF(SUM(OFFSET($B31,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1" s="98">
        <f>VLOOKUP(A31,ID_купе[],2,0)</f>
        <v>8</v>
      </c>
      <c r="AH31" s="132" t="str">
        <f t="shared" ca="1" si="1"/>
        <v>Частично</v>
      </c>
    </row>
    <row r="32" spans="1:34" x14ac:dyDescent="0.25">
      <c r="A32" s="68">
        <v>30</v>
      </c>
      <c r="B32" s="67">
        <f>COUNTIFS(Продажи!$B$2:$B$1002, $A32, Продажи!$E$2:$E$1002, "&lt;=" &amp; B$2, Продажи!$F$2:$F$1002, "&gt;" &amp; B$2)</f>
        <v>0</v>
      </c>
      <c r="C32" s="67">
        <f>COUNTIFS(Продажи!$B$2:$B$1002, $A32, Продажи!$E$2:$E$1002, "&lt;=" &amp; C$2, Продажи!$F$2:$F$1002, "&gt;" &amp; C$2)</f>
        <v>0</v>
      </c>
      <c r="D32" s="67">
        <f>COUNTIFS(Продажи!$B$2:$B$1002, $A32, Продажи!$E$2:$E$1002, "&lt;=" &amp; D$2, Продажи!$F$2:$F$1002, "&gt;" &amp; D$2)</f>
        <v>0</v>
      </c>
      <c r="E32" s="67">
        <f>COUNTIFS(Продажи!$B$2:$B$1002, $A32, Продажи!$E$2:$E$1002, "&lt;=" &amp; E$2, Продажи!$F$2:$F$1002, "&gt;" &amp; E$2)</f>
        <v>0</v>
      </c>
      <c r="F32" s="67">
        <f>COUNTIFS(Продажи!$B$2:$B$1002, $A32, Продажи!$E$2:$E$1002, "&lt;=" &amp; F$2, Продажи!$F$2:$F$1002, "&gt;" &amp; F$2)</f>
        <v>0</v>
      </c>
      <c r="G32" s="67">
        <f>COUNTIFS(Продажи!$B$2:$B$1002, $A32, Продажи!$E$2:$E$1002, "&lt;=" &amp; G$2, Продажи!$F$2:$F$1002, "&gt;" &amp; G$2)</f>
        <v>0</v>
      </c>
      <c r="H32" s="67">
        <f>COUNTIFS(Продажи!$B$2:$B$1002, $A32, Продажи!$E$2:$E$1002, "&lt;=" &amp; H$2, Продажи!$F$2:$F$1002, "&gt;" &amp; H$2)</f>
        <v>0</v>
      </c>
      <c r="I32" s="67">
        <f>COUNTIFS(Продажи!$B$2:$B$1002, $A32, Продажи!$E$2:$E$1002, "&lt;=" &amp; I$2, Продажи!$F$2:$F$1002, "&gt;" &amp; I$2)</f>
        <v>0</v>
      </c>
      <c r="J32" s="67">
        <f>COUNTIFS(Продажи!$B$2:$B$1002, $A32, Продажи!$E$2:$E$1002, "&lt;=" &amp; J$2, Продажи!$F$2:$F$1002, "&gt;" &amp; J$2)</f>
        <v>0</v>
      </c>
      <c r="K32" s="67">
        <f>COUNTIFS(Продажи!$B$2:$B$1002, $A32, Продажи!$E$2:$E$1002, "&lt;=" &amp; K$2, Продажи!$F$2:$F$1002, "&gt;" &amp; K$2)</f>
        <v>0</v>
      </c>
      <c r="L32" s="67">
        <f>COUNTIFS(Продажи!$B$2:$B$1002, $A32, Продажи!$E$2:$E$1002, "&lt;=" &amp; L$2, Продажи!$F$2:$F$1002, "&gt;" &amp; L$2)</f>
        <v>0</v>
      </c>
      <c r="M32" s="67">
        <f>COUNTIFS(Продажи!$B$2:$B$1002, $A32, Продажи!$E$2:$E$1002, "&lt;=" &amp; M$2, Продажи!$F$2:$F$1002, "&gt;" &amp; M$2)</f>
        <v>0</v>
      </c>
      <c r="N32" s="67">
        <f>COUNTIFS(Продажи!$B$2:$B$1002, $A32, Продажи!$E$2:$E$1002, "&lt;=" &amp; N$2, Продажи!$F$2:$F$1002, "&gt;" &amp; N$2)</f>
        <v>0</v>
      </c>
      <c r="O32" s="67">
        <f>COUNTIFS(Продажи!$B$2:$B$1002, $A32, Продажи!$E$2:$E$1002, "&lt;=" &amp; O$2, Продажи!$F$2:$F$1002, "&gt;" &amp; O$2)</f>
        <v>0</v>
      </c>
      <c r="P32" s="67">
        <f>COUNTIFS(Продажи!$B$2:$B$1002, $A32, Продажи!$E$2:$E$1002, "&lt;=" &amp; P$2, Продажи!$F$2:$F$1002, "&gt;" &amp; P$2)</f>
        <v>0</v>
      </c>
      <c r="Q32" s="67">
        <f>COUNTIFS(Продажи!$B$2:$B$1002, $A32, Продажи!$E$2:$E$1002, "&lt;=" &amp; Q$2, Продажи!$F$2:$F$1002, "&gt;" &amp; Q$2)</f>
        <v>0</v>
      </c>
      <c r="R32" s="67">
        <f>COUNTIFS(Продажи!$B$2:$B$1002, $A32, Продажи!$E$2:$E$1002, "&lt;=" &amp; R$2, Продажи!$F$2:$F$1002, "&gt;" &amp; R$2)</f>
        <v>0</v>
      </c>
      <c r="S32" s="67">
        <f>COUNTIFS(Продажи!$B$2:$B$1002, $A32, Продажи!$E$2:$E$1002, "&lt;=" &amp; S$2, Продажи!$F$2:$F$1002, "&gt;" &amp; S$2)</f>
        <v>0</v>
      </c>
      <c r="T32" s="67">
        <f>COUNTIFS(Продажи!$B$2:$B$1002, $A32, Продажи!$E$2:$E$1002, "&lt;=" &amp; T$2, Продажи!$F$2:$F$1002, "&gt;" &amp; T$2)</f>
        <v>0</v>
      </c>
      <c r="U32" s="67">
        <f>COUNTIFS(Продажи!$B$2:$B$1002, $A32, Продажи!$E$2:$E$1002, "&lt;=" &amp; U$2, Продажи!$F$2:$F$1002, "&gt;" &amp; U$2)</f>
        <v>0</v>
      </c>
      <c r="V32" s="67">
        <f>COUNTIFS(Продажи!$B$2:$B$1002, $A32, Продажи!$E$2:$E$1002, "&lt;=" &amp; V$2, Продажи!$F$2:$F$1002, "&gt;" &amp; V$2)</f>
        <v>0</v>
      </c>
      <c r="W32" s="67">
        <f>COUNTIFS(Продажи!$B$2:$B$1002, $A32, Продажи!$E$2:$E$1002, "&lt;=" &amp; W$2, Продажи!$F$2:$F$1002, "&gt;" &amp; W$2)</f>
        <v>0</v>
      </c>
      <c r="X32" s="67">
        <f>COUNTIFS(Продажи!$B$2:$B$1002, $A32, Продажи!$E$2:$E$1002, "&lt;=" &amp; X$2, Продажи!$F$2:$F$1002, "&gt;" &amp; X$2)</f>
        <v>0</v>
      </c>
      <c r="Y32" s="67">
        <f>COUNTIFS(Продажи!$B$2:$B$1002, $A32, Продажи!$E$2:$E$1002, "&lt;=" &amp; Y$2, Продажи!$F$2:$F$1002, "&gt;" &amp; Y$2)</f>
        <v>0</v>
      </c>
      <c r="Z32" s="67">
        <f>COUNTIFS(Продажи!$B$2:$B$1002, $A32, Продажи!$E$2:$E$1002, "&lt;=" &amp; Z$2, Продажи!$F$2:$F$1002, "&gt;" &amp; Z$2)</f>
        <v>0</v>
      </c>
      <c r="AA32" s="67">
        <f>COUNTIFS(Продажи!$B$2:$B$1002, $A32, Продажи!$E$2:$E$1002, "&lt;=" &amp; AA$2, Продажи!$F$2:$F$1002, "&gt;" &amp; AA$2)</f>
        <v>0</v>
      </c>
      <c r="AB32" s="67">
        <f>COUNTIFS(Продажи!$B$2:$B$1002, $A32, Продажи!$E$2:$E$1002, "&lt;=" &amp; AB$2, Продажи!$F$2:$F$1002, "&gt;" &amp; AB$2)</f>
        <v>0</v>
      </c>
      <c r="AC32" s="67">
        <f>COUNTIFS(Продажи!$B$2:$B$1002, $A32, Продажи!$E$2:$E$1002, "&lt;=" &amp; AC$2, Продажи!$F$2:$F$1002, "&gt;" &amp; AC$2)</f>
        <v>0</v>
      </c>
      <c r="AD32" s="67">
        <f>COUNTIFS(Продажи!$B$2:$B$1002, $A32, Продажи!$E$2:$E$1002, "&lt;=" &amp; AD$2, Продажи!$F$2:$F$1002, "&gt;" &amp; AD$2)</f>
        <v>0</v>
      </c>
      <c r="AE32" s="67">
        <f t="shared" si="0"/>
        <v>0</v>
      </c>
      <c r="AF32" s="64" t="str">
        <f ca="1">IF(SUM(OFFSET($B32,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2" s="98">
        <f>VLOOKUP(A32,ID_купе[],2,0)</f>
        <v>8</v>
      </c>
      <c r="AH32" s="132" t="str">
        <f t="shared" ca="1" si="1"/>
        <v>Частично</v>
      </c>
    </row>
    <row r="33" spans="1:34" x14ac:dyDescent="0.25">
      <c r="A33" s="68">
        <v>31</v>
      </c>
      <c r="B33" s="67">
        <f>COUNTIFS(Продажи!$B$2:$B$1002, $A33, Продажи!$E$2:$E$1002, "&lt;=" &amp; B$2, Продажи!$F$2:$F$1002, "&gt;" &amp; B$2)</f>
        <v>0</v>
      </c>
      <c r="C33" s="67">
        <f>COUNTIFS(Продажи!$B$2:$B$1002, $A33, Продажи!$E$2:$E$1002, "&lt;=" &amp; C$2, Продажи!$F$2:$F$1002, "&gt;" &amp; C$2)</f>
        <v>0</v>
      </c>
      <c r="D33" s="67">
        <f>COUNTIFS(Продажи!$B$2:$B$1002, $A33, Продажи!$E$2:$E$1002, "&lt;=" &amp; D$2, Продажи!$F$2:$F$1002, "&gt;" &amp; D$2)</f>
        <v>0</v>
      </c>
      <c r="E33" s="67">
        <f>COUNTIFS(Продажи!$B$2:$B$1002, $A33, Продажи!$E$2:$E$1002, "&lt;=" &amp; E$2, Продажи!$F$2:$F$1002, "&gt;" &amp; E$2)</f>
        <v>0</v>
      </c>
      <c r="F33" s="67">
        <f>COUNTIFS(Продажи!$B$2:$B$1002, $A33, Продажи!$E$2:$E$1002, "&lt;=" &amp; F$2, Продажи!$F$2:$F$1002, "&gt;" &amp; F$2)</f>
        <v>0</v>
      </c>
      <c r="G33" s="67">
        <f>COUNTIFS(Продажи!$B$2:$B$1002, $A33, Продажи!$E$2:$E$1002, "&lt;=" &amp; G$2, Продажи!$F$2:$F$1002, "&gt;" &amp; G$2)</f>
        <v>0</v>
      </c>
      <c r="H33" s="67">
        <f>COUNTIFS(Продажи!$B$2:$B$1002, $A33, Продажи!$E$2:$E$1002, "&lt;=" &amp; H$2, Продажи!$F$2:$F$1002, "&gt;" &amp; H$2)</f>
        <v>0</v>
      </c>
      <c r="I33" s="67">
        <f>COUNTIFS(Продажи!$B$2:$B$1002, $A33, Продажи!$E$2:$E$1002, "&lt;=" &amp; I$2, Продажи!$F$2:$F$1002, "&gt;" &amp; I$2)</f>
        <v>0</v>
      </c>
      <c r="J33" s="67">
        <f>COUNTIFS(Продажи!$B$2:$B$1002, $A33, Продажи!$E$2:$E$1002, "&lt;=" &amp; J$2, Продажи!$F$2:$F$1002, "&gt;" &amp; J$2)</f>
        <v>0</v>
      </c>
      <c r="K33" s="67">
        <f>COUNTIFS(Продажи!$B$2:$B$1002, $A33, Продажи!$E$2:$E$1002, "&lt;=" &amp; K$2, Продажи!$F$2:$F$1002, "&gt;" &amp; K$2)</f>
        <v>0</v>
      </c>
      <c r="L33" s="67">
        <f>COUNTIFS(Продажи!$B$2:$B$1002, $A33, Продажи!$E$2:$E$1002, "&lt;=" &amp; L$2, Продажи!$F$2:$F$1002, "&gt;" &amp; L$2)</f>
        <v>0</v>
      </c>
      <c r="M33" s="67">
        <f>COUNTIFS(Продажи!$B$2:$B$1002, $A33, Продажи!$E$2:$E$1002, "&lt;=" &amp; M$2, Продажи!$F$2:$F$1002, "&gt;" &amp; M$2)</f>
        <v>0</v>
      </c>
      <c r="N33" s="67">
        <f>COUNTIFS(Продажи!$B$2:$B$1002, $A33, Продажи!$E$2:$E$1002, "&lt;=" &amp; N$2, Продажи!$F$2:$F$1002, "&gt;" &amp; N$2)</f>
        <v>0</v>
      </c>
      <c r="O33" s="67">
        <f>COUNTIFS(Продажи!$B$2:$B$1002, $A33, Продажи!$E$2:$E$1002, "&lt;=" &amp; O$2, Продажи!$F$2:$F$1002, "&gt;" &amp; O$2)</f>
        <v>0</v>
      </c>
      <c r="P33" s="67">
        <f>COUNTIFS(Продажи!$B$2:$B$1002, $A33, Продажи!$E$2:$E$1002, "&lt;=" &amp; P$2, Продажи!$F$2:$F$1002, "&gt;" &amp; P$2)</f>
        <v>0</v>
      </c>
      <c r="Q33" s="67">
        <f>COUNTIFS(Продажи!$B$2:$B$1002, $A33, Продажи!$E$2:$E$1002, "&lt;=" &amp; Q$2, Продажи!$F$2:$F$1002, "&gt;" &amp; Q$2)</f>
        <v>0</v>
      </c>
      <c r="R33" s="67">
        <f>COUNTIFS(Продажи!$B$2:$B$1002, $A33, Продажи!$E$2:$E$1002, "&lt;=" &amp; R$2, Продажи!$F$2:$F$1002, "&gt;" &amp; R$2)</f>
        <v>0</v>
      </c>
      <c r="S33" s="67">
        <f>COUNTIFS(Продажи!$B$2:$B$1002, $A33, Продажи!$E$2:$E$1002, "&lt;=" &amp; S$2, Продажи!$F$2:$F$1002, "&gt;" &amp; S$2)</f>
        <v>0</v>
      </c>
      <c r="T33" s="67">
        <f>COUNTIFS(Продажи!$B$2:$B$1002, $A33, Продажи!$E$2:$E$1002, "&lt;=" &amp; T$2, Продажи!$F$2:$F$1002, "&gt;" &amp; T$2)</f>
        <v>0</v>
      </c>
      <c r="U33" s="67">
        <f>COUNTIFS(Продажи!$B$2:$B$1002, $A33, Продажи!$E$2:$E$1002, "&lt;=" &amp; U$2, Продажи!$F$2:$F$1002, "&gt;" &amp; U$2)</f>
        <v>0</v>
      </c>
      <c r="V33" s="67">
        <f>COUNTIFS(Продажи!$B$2:$B$1002, $A33, Продажи!$E$2:$E$1002, "&lt;=" &amp; V$2, Продажи!$F$2:$F$1002, "&gt;" &amp; V$2)</f>
        <v>0</v>
      </c>
      <c r="W33" s="67">
        <f>COUNTIFS(Продажи!$B$2:$B$1002, $A33, Продажи!$E$2:$E$1002, "&lt;=" &amp; W$2, Продажи!$F$2:$F$1002, "&gt;" &amp; W$2)</f>
        <v>0</v>
      </c>
      <c r="X33" s="67">
        <f>COUNTIFS(Продажи!$B$2:$B$1002, $A33, Продажи!$E$2:$E$1002, "&lt;=" &amp; X$2, Продажи!$F$2:$F$1002, "&gt;" &amp; X$2)</f>
        <v>0</v>
      </c>
      <c r="Y33" s="67">
        <f>COUNTIFS(Продажи!$B$2:$B$1002, $A33, Продажи!$E$2:$E$1002, "&lt;=" &amp; Y$2, Продажи!$F$2:$F$1002, "&gt;" &amp; Y$2)</f>
        <v>0</v>
      </c>
      <c r="Z33" s="67">
        <f>COUNTIFS(Продажи!$B$2:$B$1002, $A33, Продажи!$E$2:$E$1002, "&lt;=" &amp; Z$2, Продажи!$F$2:$F$1002, "&gt;" &amp; Z$2)</f>
        <v>0</v>
      </c>
      <c r="AA33" s="67">
        <f>COUNTIFS(Продажи!$B$2:$B$1002, $A33, Продажи!$E$2:$E$1002, "&lt;=" &amp; AA$2, Продажи!$F$2:$F$1002, "&gt;" &amp; AA$2)</f>
        <v>0</v>
      </c>
      <c r="AB33" s="67">
        <f>COUNTIFS(Продажи!$B$2:$B$1002, $A33, Продажи!$E$2:$E$1002, "&lt;=" &amp; AB$2, Продажи!$F$2:$F$1002, "&gt;" &amp; AB$2)</f>
        <v>0</v>
      </c>
      <c r="AC33" s="67">
        <f>COUNTIFS(Продажи!$B$2:$B$1002, $A33, Продажи!$E$2:$E$1002, "&lt;=" &amp; AC$2, Продажи!$F$2:$F$1002, "&gt;" &amp; AC$2)</f>
        <v>0</v>
      </c>
      <c r="AD33" s="67">
        <f>COUNTIFS(Продажи!$B$2:$B$1002, $A33, Продажи!$E$2:$E$1002, "&lt;=" &amp; AD$2, Продажи!$F$2:$F$1002, "&gt;" &amp; AD$2)</f>
        <v>0</v>
      </c>
      <c r="AE33" s="67">
        <f t="shared" si="0"/>
        <v>0</v>
      </c>
      <c r="AF33" s="64" t="str">
        <f ca="1">IF(SUM(OFFSET($B33,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3" s="98">
        <f>VLOOKUP(A33,ID_купе[],2,0)</f>
        <v>8</v>
      </c>
      <c r="AH33" s="132" t="str">
        <f t="shared" ca="1" si="1"/>
        <v>Частично</v>
      </c>
    </row>
    <row r="34" spans="1:34" x14ac:dyDescent="0.25">
      <c r="A34" s="68">
        <v>32</v>
      </c>
      <c r="B34" s="67">
        <f>COUNTIFS(Продажи!$B$2:$B$1002, $A34, Продажи!$E$2:$E$1002, "&lt;=" &amp; B$2, Продажи!$F$2:$F$1002, "&gt;" &amp; B$2)</f>
        <v>0</v>
      </c>
      <c r="C34" s="67">
        <f>COUNTIFS(Продажи!$B$2:$B$1002, $A34, Продажи!$E$2:$E$1002, "&lt;=" &amp; C$2, Продажи!$F$2:$F$1002, "&gt;" &amp; C$2)</f>
        <v>0</v>
      </c>
      <c r="D34" s="67">
        <f>COUNTIFS(Продажи!$B$2:$B$1002, $A34, Продажи!$E$2:$E$1002, "&lt;=" &amp; D$2, Продажи!$F$2:$F$1002, "&gt;" &amp; D$2)</f>
        <v>0</v>
      </c>
      <c r="E34" s="67">
        <f>COUNTIFS(Продажи!$B$2:$B$1002, $A34, Продажи!$E$2:$E$1002, "&lt;=" &amp; E$2, Продажи!$F$2:$F$1002, "&gt;" &amp; E$2)</f>
        <v>0</v>
      </c>
      <c r="F34" s="67">
        <f>COUNTIFS(Продажи!$B$2:$B$1002, $A34, Продажи!$E$2:$E$1002, "&lt;=" &amp; F$2, Продажи!$F$2:$F$1002, "&gt;" &amp; F$2)</f>
        <v>0</v>
      </c>
      <c r="G34" s="67">
        <f>COUNTIFS(Продажи!$B$2:$B$1002, $A34, Продажи!$E$2:$E$1002, "&lt;=" &amp; G$2, Продажи!$F$2:$F$1002, "&gt;" &amp; G$2)</f>
        <v>0</v>
      </c>
      <c r="H34" s="67">
        <f>COUNTIFS(Продажи!$B$2:$B$1002, $A34, Продажи!$E$2:$E$1002, "&lt;=" &amp; H$2, Продажи!$F$2:$F$1002, "&gt;" &amp; H$2)</f>
        <v>0</v>
      </c>
      <c r="I34" s="67">
        <f>COUNTIFS(Продажи!$B$2:$B$1002, $A34, Продажи!$E$2:$E$1002, "&lt;=" &amp; I$2, Продажи!$F$2:$F$1002, "&gt;" &amp; I$2)</f>
        <v>0</v>
      </c>
      <c r="J34" s="67">
        <f>COUNTIFS(Продажи!$B$2:$B$1002, $A34, Продажи!$E$2:$E$1002, "&lt;=" &amp; J$2, Продажи!$F$2:$F$1002, "&gt;" &amp; J$2)</f>
        <v>0</v>
      </c>
      <c r="K34" s="67">
        <f>COUNTIFS(Продажи!$B$2:$B$1002, $A34, Продажи!$E$2:$E$1002, "&lt;=" &amp; K$2, Продажи!$F$2:$F$1002, "&gt;" &amp; K$2)</f>
        <v>0</v>
      </c>
      <c r="L34" s="67">
        <f>COUNTIFS(Продажи!$B$2:$B$1002, $A34, Продажи!$E$2:$E$1002, "&lt;=" &amp; L$2, Продажи!$F$2:$F$1002, "&gt;" &amp; L$2)</f>
        <v>0</v>
      </c>
      <c r="M34" s="67">
        <f>COUNTIFS(Продажи!$B$2:$B$1002, $A34, Продажи!$E$2:$E$1002, "&lt;=" &amp; M$2, Продажи!$F$2:$F$1002, "&gt;" &amp; M$2)</f>
        <v>0</v>
      </c>
      <c r="N34" s="67">
        <f>COUNTIFS(Продажи!$B$2:$B$1002, $A34, Продажи!$E$2:$E$1002, "&lt;=" &amp; N$2, Продажи!$F$2:$F$1002, "&gt;" &amp; N$2)</f>
        <v>0</v>
      </c>
      <c r="O34" s="67">
        <f>COUNTIFS(Продажи!$B$2:$B$1002, $A34, Продажи!$E$2:$E$1002, "&lt;=" &amp; O$2, Продажи!$F$2:$F$1002, "&gt;" &amp; O$2)</f>
        <v>0</v>
      </c>
      <c r="P34" s="67">
        <f>COUNTIFS(Продажи!$B$2:$B$1002, $A34, Продажи!$E$2:$E$1002, "&lt;=" &amp; P$2, Продажи!$F$2:$F$1002, "&gt;" &amp; P$2)</f>
        <v>0</v>
      </c>
      <c r="Q34" s="67">
        <f>COUNTIFS(Продажи!$B$2:$B$1002, $A34, Продажи!$E$2:$E$1002, "&lt;=" &amp; Q$2, Продажи!$F$2:$F$1002, "&gt;" &amp; Q$2)</f>
        <v>0</v>
      </c>
      <c r="R34" s="67">
        <f>COUNTIFS(Продажи!$B$2:$B$1002, $A34, Продажи!$E$2:$E$1002, "&lt;=" &amp; R$2, Продажи!$F$2:$F$1002, "&gt;" &amp; R$2)</f>
        <v>0</v>
      </c>
      <c r="S34" s="67">
        <f>COUNTIFS(Продажи!$B$2:$B$1002, $A34, Продажи!$E$2:$E$1002, "&lt;=" &amp; S$2, Продажи!$F$2:$F$1002, "&gt;" &amp; S$2)</f>
        <v>0</v>
      </c>
      <c r="T34" s="67">
        <f>COUNTIFS(Продажи!$B$2:$B$1002, $A34, Продажи!$E$2:$E$1002, "&lt;=" &amp; T$2, Продажи!$F$2:$F$1002, "&gt;" &amp; T$2)</f>
        <v>0</v>
      </c>
      <c r="U34" s="67">
        <f>COUNTIFS(Продажи!$B$2:$B$1002, $A34, Продажи!$E$2:$E$1002, "&lt;=" &amp; U$2, Продажи!$F$2:$F$1002, "&gt;" &amp; U$2)</f>
        <v>0</v>
      </c>
      <c r="V34" s="67">
        <f>COUNTIFS(Продажи!$B$2:$B$1002, $A34, Продажи!$E$2:$E$1002, "&lt;=" &amp; V$2, Продажи!$F$2:$F$1002, "&gt;" &amp; V$2)</f>
        <v>0</v>
      </c>
      <c r="W34" s="67">
        <f>COUNTIFS(Продажи!$B$2:$B$1002, $A34, Продажи!$E$2:$E$1002, "&lt;=" &amp; W$2, Продажи!$F$2:$F$1002, "&gt;" &amp; W$2)</f>
        <v>0</v>
      </c>
      <c r="X34" s="67">
        <f>COUNTIFS(Продажи!$B$2:$B$1002, $A34, Продажи!$E$2:$E$1002, "&lt;=" &amp; X$2, Продажи!$F$2:$F$1002, "&gt;" &amp; X$2)</f>
        <v>0</v>
      </c>
      <c r="Y34" s="67">
        <f>COUNTIFS(Продажи!$B$2:$B$1002, $A34, Продажи!$E$2:$E$1002, "&lt;=" &amp; Y$2, Продажи!$F$2:$F$1002, "&gt;" &amp; Y$2)</f>
        <v>0</v>
      </c>
      <c r="Z34" s="67">
        <f>COUNTIFS(Продажи!$B$2:$B$1002, $A34, Продажи!$E$2:$E$1002, "&lt;=" &amp; Z$2, Продажи!$F$2:$F$1002, "&gt;" &amp; Z$2)</f>
        <v>0</v>
      </c>
      <c r="AA34" s="67">
        <f>COUNTIFS(Продажи!$B$2:$B$1002, $A34, Продажи!$E$2:$E$1002, "&lt;=" &amp; AA$2, Продажи!$F$2:$F$1002, "&gt;" &amp; AA$2)</f>
        <v>0</v>
      </c>
      <c r="AB34" s="67">
        <f>COUNTIFS(Продажи!$B$2:$B$1002, $A34, Продажи!$E$2:$E$1002, "&lt;=" &amp; AB$2, Продажи!$F$2:$F$1002, "&gt;" &amp; AB$2)</f>
        <v>0</v>
      </c>
      <c r="AC34" s="67">
        <f>COUNTIFS(Продажи!$B$2:$B$1002, $A34, Продажи!$E$2:$E$1002, "&lt;=" &amp; AC$2, Продажи!$F$2:$F$1002, "&gt;" &amp; AC$2)</f>
        <v>0</v>
      </c>
      <c r="AD34" s="67">
        <f>COUNTIFS(Продажи!$B$2:$B$1002, $A34, Продажи!$E$2:$E$1002, "&lt;=" &amp; AD$2, Продажи!$F$2:$F$1002, "&gt;" &amp; AD$2)</f>
        <v>0</v>
      </c>
      <c r="AE34" s="67">
        <f t="shared" si="0"/>
        <v>0</v>
      </c>
      <c r="AF34" s="64" t="str">
        <f ca="1">IF(SUM(OFFSET($B34,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4" s="98">
        <f>VLOOKUP(A34,ID_купе[],2,0)</f>
        <v>8</v>
      </c>
      <c r="AH34" s="132" t="str">
        <f t="shared" ca="1" si="1"/>
        <v>Частично</v>
      </c>
    </row>
    <row r="35" spans="1:34" x14ac:dyDescent="0.25">
      <c r="A35" s="68">
        <v>33</v>
      </c>
      <c r="B35" s="67">
        <f>COUNTIFS(Продажи!$B$2:$B$1002, $A35, Продажи!$E$2:$E$1002, "&lt;=" &amp; B$2, Продажи!$F$2:$F$1002, "&gt;" &amp; B$2)</f>
        <v>1</v>
      </c>
      <c r="C35" s="67">
        <f>COUNTIFS(Продажи!$B$2:$B$1002, $A35, Продажи!$E$2:$E$1002, "&lt;=" &amp; C$2, Продажи!$F$2:$F$1002, "&gt;" &amp; C$2)</f>
        <v>1</v>
      </c>
      <c r="D35" s="67">
        <f>COUNTIFS(Продажи!$B$2:$B$1002, $A35, Продажи!$E$2:$E$1002, "&lt;=" &amp; D$2, Продажи!$F$2:$F$1002, "&gt;" &amp; D$2)</f>
        <v>1</v>
      </c>
      <c r="E35" s="67">
        <f>COUNTIFS(Продажи!$B$2:$B$1002, $A35, Продажи!$E$2:$E$1002, "&lt;=" &amp; E$2, Продажи!$F$2:$F$1002, "&gt;" &amp; E$2)</f>
        <v>1</v>
      </c>
      <c r="F35" s="67">
        <f>COUNTIFS(Продажи!$B$2:$B$1002, $A35, Продажи!$E$2:$E$1002, "&lt;=" &amp; F$2, Продажи!$F$2:$F$1002, "&gt;" &amp; F$2)</f>
        <v>0</v>
      </c>
      <c r="G35" s="67">
        <f>COUNTIFS(Продажи!$B$2:$B$1002, $A35, Продажи!$E$2:$E$1002, "&lt;=" &amp; G$2, Продажи!$F$2:$F$1002, "&gt;" &amp; G$2)</f>
        <v>0</v>
      </c>
      <c r="H35" s="67">
        <f>COUNTIFS(Продажи!$B$2:$B$1002, $A35, Продажи!$E$2:$E$1002, "&lt;=" &amp; H$2, Продажи!$F$2:$F$1002, "&gt;" &amp; H$2)</f>
        <v>0</v>
      </c>
      <c r="I35" s="67">
        <f>COUNTIFS(Продажи!$B$2:$B$1002, $A35, Продажи!$E$2:$E$1002, "&lt;=" &amp; I$2, Продажи!$F$2:$F$1002, "&gt;" &amp; I$2)</f>
        <v>0</v>
      </c>
      <c r="J35" s="67">
        <f>COUNTIFS(Продажи!$B$2:$B$1002, $A35, Продажи!$E$2:$E$1002, "&lt;=" &amp; J$2, Продажи!$F$2:$F$1002, "&gt;" &amp; J$2)</f>
        <v>0</v>
      </c>
      <c r="K35" s="67">
        <f>COUNTIFS(Продажи!$B$2:$B$1002, $A35, Продажи!$E$2:$E$1002, "&lt;=" &amp; K$2, Продажи!$F$2:$F$1002, "&gt;" &amp; K$2)</f>
        <v>0</v>
      </c>
      <c r="L35" s="67">
        <f>COUNTIFS(Продажи!$B$2:$B$1002, $A35, Продажи!$E$2:$E$1002, "&lt;=" &amp; L$2, Продажи!$F$2:$F$1002, "&gt;" &amp; L$2)</f>
        <v>0</v>
      </c>
      <c r="M35" s="67">
        <f>COUNTIFS(Продажи!$B$2:$B$1002, $A35, Продажи!$E$2:$E$1002, "&lt;=" &amp; M$2, Продажи!$F$2:$F$1002, "&gt;" &amp; M$2)</f>
        <v>0</v>
      </c>
      <c r="N35" s="67">
        <f>COUNTIFS(Продажи!$B$2:$B$1002, $A35, Продажи!$E$2:$E$1002, "&lt;=" &amp; N$2, Продажи!$F$2:$F$1002, "&gt;" &amp; N$2)</f>
        <v>0</v>
      </c>
      <c r="O35" s="67">
        <f>COUNTIFS(Продажи!$B$2:$B$1002, $A35, Продажи!$E$2:$E$1002, "&lt;=" &amp; O$2, Продажи!$F$2:$F$1002, "&gt;" &amp; O$2)</f>
        <v>0</v>
      </c>
      <c r="P35" s="67">
        <f>COUNTIFS(Продажи!$B$2:$B$1002, $A35, Продажи!$E$2:$E$1002, "&lt;=" &amp; P$2, Продажи!$F$2:$F$1002, "&gt;" &amp; P$2)</f>
        <v>0</v>
      </c>
      <c r="Q35" s="67">
        <f>COUNTIFS(Продажи!$B$2:$B$1002, $A35, Продажи!$E$2:$E$1002, "&lt;=" &amp; Q$2, Продажи!$F$2:$F$1002, "&gt;" &amp; Q$2)</f>
        <v>0</v>
      </c>
      <c r="R35" s="67">
        <f>COUNTIFS(Продажи!$B$2:$B$1002, $A35, Продажи!$E$2:$E$1002, "&lt;=" &amp; R$2, Продажи!$F$2:$F$1002, "&gt;" &amp; R$2)</f>
        <v>0</v>
      </c>
      <c r="S35" s="67">
        <f>COUNTIFS(Продажи!$B$2:$B$1002, $A35, Продажи!$E$2:$E$1002, "&lt;=" &amp; S$2, Продажи!$F$2:$F$1002, "&gt;" &amp; S$2)</f>
        <v>0</v>
      </c>
      <c r="T35" s="67">
        <f>COUNTIFS(Продажи!$B$2:$B$1002, $A35, Продажи!$E$2:$E$1002, "&lt;=" &amp; T$2, Продажи!$F$2:$F$1002, "&gt;" &amp; T$2)</f>
        <v>0</v>
      </c>
      <c r="U35" s="67">
        <f>COUNTIFS(Продажи!$B$2:$B$1002, $A35, Продажи!$E$2:$E$1002, "&lt;=" &amp; U$2, Продажи!$F$2:$F$1002, "&gt;" &amp; U$2)</f>
        <v>0</v>
      </c>
      <c r="V35" s="67">
        <f>COUNTIFS(Продажи!$B$2:$B$1002, $A35, Продажи!$E$2:$E$1002, "&lt;=" &amp; V$2, Продажи!$F$2:$F$1002, "&gt;" &amp; V$2)</f>
        <v>0</v>
      </c>
      <c r="W35" s="67">
        <f>COUNTIFS(Продажи!$B$2:$B$1002, $A35, Продажи!$E$2:$E$1002, "&lt;=" &amp; W$2, Продажи!$F$2:$F$1002, "&gt;" &amp; W$2)</f>
        <v>0</v>
      </c>
      <c r="X35" s="67">
        <f>COUNTIFS(Продажи!$B$2:$B$1002, $A35, Продажи!$E$2:$E$1002, "&lt;=" &amp; X$2, Продажи!$F$2:$F$1002, "&gt;" &amp; X$2)</f>
        <v>0</v>
      </c>
      <c r="Y35" s="67">
        <f>COUNTIFS(Продажи!$B$2:$B$1002, $A35, Продажи!$E$2:$E$1002, "&lt;=" &amp; Y$2, Продажи!$F$2:$F$1002, "&gt;" &amp; Y$2)</f>
        <v>0</v>
      </c>
      <c r="Z35" s="67">
        <f>COUNTIFS(Продажи!$B$2:$B$1002, $A35, Продажи!$E$2:$E$1002, "&lt;=" &amp; Z$2, Продажи!$F$2:$F$1002, "&gt;" &amp; Z$2)</f>
        <v>0</v>
      </c>
      <c r="AA35" s="67">
        <f>COUNTIFS(Продажи!$B$2:$B$1002, $A35, Продажи!$E$2:$E$1002, "&lt;=" &amp; AA$2, Продажи!$F$2:$F$1002, "&gt;" &amp; AA$2)</f>
        <v>0</v>
      </c>
      <c r="AB35" s="67">
        <f>COUNTIFS(Продажи!$B$2:$B$1002, $A35, Продажи!$E$2:$E$1002, "&lt;=" &amp; AB$2, Продажи!$F$2:$F$1002, "&gt;" &amp; AB$2)</f>
        <v>0</v>
      </c>
      <c r="AC35" s="67">
        <f>COUNTIFS(Продажи!$B$2:$B$1002, $A35, Продажи!$E$2:$E$1002, "&lt;=" &amp; AC$2, Продажи!$F$2:$F$1002, "&gt;" &amp; AC$2)</f>
        <v>0</v>
      </c>
      <c r="AD35" s="67">
        <f>COUNTIFS(Продажи!$B$2:$B$1002, $A35, Продажи!$E$2:$E$1002, "&lt;=" &amp; AD$2, Продажи!$F$2:$F$1002, "&gt;" &amp; AD$2)</f>
        <v>0</v>
      </c>
      <c r="AE35" s="67">
        <f t="shared" si="0"/>
        <v>4</v>
      </c>
      <c r="AF35" s="64" t="str">
        <f ca="1">IF(SUM(OFFSET($B35,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35" s="98">
        <f>VLOOKUP(A35,ID_купе[],2,0)</f>
        <v>9</v>
      </c>
      <c r="AH35" s="132" t="str">
        <f t="shared" ca="1" si="1"/>
        <v>Занято</v>
      </c>
    </row>
    <row r="36" spans="1:34" x14ac:dyDescent="0.25">
      <c r="A36" s="68">
        <v>34</v>
      </c>
      <c r="B36" s="67">
        <f>COUNTIFS(Продажи!$B$2:$B$1002, $A36, Продажи!$E$2:$E$1002, "&lt;=" &amp; B$2, Продажи!$F$2:$F$1002, "&gt;" &amp; B$2)</f>
        <v>0</v>
      </c>
      <c r="C36" s="67">
        <f>COUNTIFS(Продажи!$B$2:$B$1002, $A36, Продажи!$E$2:$E$1002, "&lt;=" &amp; C$2, Продажи!$F$2:$F$1002, "&gt;" &amp; C$2)</f>
        <v>0</v>
      </c>
      <c r="D36" s="67">
        <f>COUNTIFS(Продажи!$B$2:$B$1002, $A36, Продажи!$E$2:$E$1002, "&lt;=" &amp; D$2, Продажи!$F$2:$F$1002, "&gt;" &amp; D$2)</f>
        <v>0</v>
      </c>
      <c r="E36" s="67">
        <f>COUNTIFS(Продажи!$B$2:$B$1002, $A36, Продажи!$E$2:$E$1002, "&lt;=" &amp; E$2, Продажи!$F$2:$F$1002, "&gt;" &amp; E$2)</f>
        <v>0</v>
      </c>
      <c r="F36" s="67">
        <f>COUNTIFS(Продажи!$B$2:$B$1002, $A36, Продажи!$E$2:$E$1002, "&lt;=" &amp; F$2, Продажи!$F$2:$F$1002, "&gt;" &amp; F$2)</f>
        <v>0</v>
      </c>
      <c r="G36" s="67">
        <f>COUNTIFS(Продажи!$B$2:$B$1002, $A36, Продажи!$E$2:$E$1002, "&lt;=" &amp; G$2, Продажи!$F$2:$F$1002, "&gt;" &amp; G$2)</f>
        <v>0</v>
      </c>
      <c r="H36" s="67">
        <f>COUNTIFS(Продажи!$B$2:$B$1002, $A36, Продажи!$E$2:$E$1002, "&lt;=" &amp; H$2, Продажи!$F$2:$F$1002, "&gt;" &amp; H$2)</f>
        <v>0</v>
      </c>
      <c r="I36" s="67">
        <f>COUNTIFS(Продажи!$B$2:$B$1002, $A36, Продажи!$E$2:$E$1002, "&lt;=" &amp; I$2, Продажи!$F$2:$F$1002, "&gt;" &amp; I$2)</f>
        <v>0</v>
      </c>
      <c r="J36" s="67">
        <f>COUNTIFS(Продажи!$B$2:$B$1002, $A36, Продажи!$E$2:$E$1002, "&lt;=" &amp; J$2, Продажи!$F$2:$F$1002, "&gt;" &amp; J$2)</f>
        <v>0</v>
      </c>
      <c r="K36" s="67">
        <f>COUNTIFS(Продажи!$B$2:$B$1002, $A36, Продажи!$E$2:$E$1002, "&lt;=" &amp; K$2, Продажи!$F$2:$F$1002, "&gt;" &amp; K$2)</f>
        <v>0</v>
      </c>
      <c r="L36" s="67">
        <f>COUNTIFS(Продажи!$B$2:$B$1002, $A36, Продажи!$E$2:$E$1002, "&lt;=" &amp; L$2, Продажи!$F$2:$F$1002, "&gt;" &amp; L$2)</f>
        <v>0</v>
      </c>
      <c r="M36" s="67">
        <f>COUNTIFS(Продажи!$B$2:$B$1002, $A36, Продажи!$E$2:$E$1002, "&lt;=" &amp; M$2, Продажи!$F$2:$F$1002, "&gt;" &amp; M$2)</f>
        <v>0</v>
      </c>
      <c r="N36" s="67">
        <f>COUNTIFS(Продажи!$B$2:$B$1002, $A36, Продажи!$E$2:$E$1002, "&lt;=" &amp; N$2, Продажи!$F$2:$F$1002, "&gt;" &amp; N$2)</f>
        <v>0</v>
      </c>
      <c r="O36" s="67">
        <f>COUNTIFS(Продажи!$B$2:$B$1002, $A36, Продажи!$E$2:$E$1002, "&lt;=" &amp; O$2, Продажи!$F$2:$F$1002, "&gt;" &amp; O$2)</f>
        <v>0</v>
      </c>
      <c r="P36" s="67">
        <f>COUNTIFS(Продажи!$B$2:$B$1002, $A36, Продажи!$E$2:$E$1002, "&lt;=" &amp; P$2, Продажи!$F$2:$F$1002, "&gt;" &amp; P$2)</f>
        <v>0</v>
      </c>
      <c r="Q36" s="67">
        <f>COUNTIFS(Продажи!$B$2:$B$1002, $A36, Продажи!$E$2:$E$1002, "&lt;=" &amp; Q$2, Продажи!$F$2:$F$1002, "&gt;" &amp; Q$2)</f>
        <v>0</v>
      </c>
      <c r="R36" s="67">
        <f>COUNTIFS(Продажи!$B$2:$B$1002, $A36, Продажи!$E$2:$E$1002, "&lt;=" &amp; R$2, Продажи!$F$2:$F$1002, "&gt;" &amp; R$2)</f>
        <v>0</v>
      </c>
      <c r="S36" s="67">
        <f>COUNTIFS(Продажи!$B$2:$B$1002, $A36, Продажи!$E$2:$E$1002, "&lt;=" &amp; S$2, Продажи!$F$2:$F$1002, "&gt;" &amp; S$2)</f>
        <v>0</v>
      </c>
      <c r="T36" s="67">
        <f>COUNTIFS(Продажи!$B$2:$B$1002, $A36, Продажи!$E$2:$E$1002, "&lt;=" &amp; T$2, Продажи!$F$2:$F$1002, "&gt;" &amp; T$2)</f>
        <v>0</v>
      </c>
      <c r="U36" s="67">
        <f>COUNTIFS(Продажи!$B$2:$B$1002, $A36, Продажи!$E$2:$E$1002, "&lt;=" &amp; U$2, Продажи!$F$2:$F$1002, "&gt;" &amp; U$2)</f>
        <v>0</v>
      </c>
      <c r="V36" s="67">
        <f>COUNTIFS(Продажи!$B$2:$B$1002, $A36, Продажи!$E$2:$E$1002, "&lt;=" &amp; V$2, Продажи!$F$2:$F$1002, "&gt;" &amp; V$2)</f>
        <v>0</v>
      </c>
      <c r="W36" s="67">
        <f>COUNTIFS(Продажи!$B$2:$B$1002, $A36, Продажи!$E$2:$E$1002, "&lt;=" &amp; W$2, Продажи!$F$2:$F$1002, "&gt;" &amp; W$2)</f>
        <v>0</v>
      </c>
      <c r="X36" s="67">
        <f>COUNTIFS(Продажи!$B$2:$B$1002, $A36, Продажи!$E$2:$E$1002, "&lt;=" &amp; X$2, Продажи!$F$2:$F$1002, "&gt;" &amp; X$2)</f>
        <v>0</v>
      </c>
      <c r="Y36" s="67">
        <f>COUNTIFS(Продажи!$B$2:$B$1002, $A36, Продажи!$E$2:$E$1002, "&lt;=" &amp; Y$2, Продажи!$F$2:$F$1002, "&gt;" &amp; Y$2)</f>
        <v>0</v>
      </c>
      <c r="Z36" s="67">
        <f>COUNTIFS(Продажи!$B$2:$B$1002, $A36, Продажи!$E$2:$E$1002, "&lt;=" &amp; Z$2, Продажи!$F$2:$F$1002, "&gt;" &amp; Z$2)</f>
        <v>0</v>
      </c>
      <c r="AA36" s="67">
        <f>COUNTIFS(Продажи!$B$2:$B$1002, $A36, Продажи!$E$2:$E$1002, "&lt;=" &amp; AA$2, Продажи!$F$2:$F$1002, "&gt;" &amp; AA$2)</f>
        <v>0</v>
      </c>
      <c r="AB36" s="67">
        <f>COUNTIFS(Продажи!$B$2:$B$1002, $A36, Продажи!$E$2:$E$1002, "&lt;=" &amp; AB$2, Продажи!$F$2:$F$1002, "&gt;" &amp; AB$2)</f>
        <v>0</v>
      </c>
      <c r="AC36" s="67">
        <f>COUNTIFS(Продажи!$B$2:$B$1002, $A36, Продажи!$E$2:$E$1002, "&lt;=" &amp; AC$2, Продажи!$F$2:$F$1002, "&gt;" &amp; AC$2)</f>
        <v>0</v>
      </c>
      <c r="AD36" s="67">
        <f>COUNTIFS(Продажи!$B$2:$B$1002, $A36, Продажи!$E$2:$E$1002, "&lt;=" &amp; AD$2, Продажи!$F$2:$F$1002, "&gt;" &amp; AD$2)</f>
        <v>0</v>
      </c>
      <c r="AE36" s="67">
        <f t="shared" si="0"/>
        <v>0</v>
      </c>
      <c r="AF36" s="64" t="str">
        <f ca="1">IF(SUM(OFFSET($B36,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6" s="98">
        <f>VLOOKUP(A36,ID_купе[],2,0)</f>
        <v>9</v>
      </c>
      <c r="AH36" s="132" t="str">
        <f t="shared" ca="1" si="1"/>
        <v>Частично</v>
      </c>
    </row>
    <row r="37" spans="1:34" x14ac:dyDescent="0.25">
      <c r="A37" s="68">
        <v>35</v>
      </c>
      <c r="B37" s="67">
        <f>COUNTIFS(Продажи!$B$2:$B$1002, $A37, Продажи!$E$2:$E$1002, "&lt;=" &amp; B$2, Продажи!$F$2:$F$1002, "&gt;" &amp; B$2)</f>
        <v>0</v>
      </c>
      <c r="C37" s="67">
        <f>COUNTIFS(Продажи!$B$2:$B$1002, $A37, Продажи!$E$2:$E$1002, "&lt;=" &amp; C$2, Продажи!$F$2:$F$1002, "&gt;" &amp; C$2)</f>
        <v>0</v>
      </c>
      <c r="D37" s="67">
        <f>COUNTIFS(Продажи!$B$2:$B$1002, $A37, Продажи!$E$2:$E$1002, "&lt;=" &amp; D$2, Продажи!$F$2:$F$1002, "&gt;" &amp; D$2)</f>
        <v>0</v>
      </c>
      <c r="E37" s="67">
        <f>COUNTIFS(Продажи!$B$2:$B$1002, $A37, Продажи!$E$2:$E$1002, "&lt;=" &amp; E$2, Продажи!$F$2:$F$1002, "&gt;" &amp; E$2)</f>
        <v>0</v>
      </c>
      <c r="F37" s="67">
        <f>COUNTIFS(Продажи!$B$2:$B$1002, $A37, Продажи!$E$2:$E$1002, "&lt;=" &amp; F$2, Продажи!$F$2:$F$1002, "&gt;" &amp; F$2)</f>
        <v>0</v>
      </c>
      <c r="G37" s="67">
        <f>COUNTIFS(Продажи!$B$2:$B$1002, $A37, Продажи!$E$2:$E$1002, "&lt;=" &amp; G$2, Продажи!$F$2:$F$1002, "&gt;" &amp; G$2)</f>
        <v>0</v>
      </c>
      <c r="H37" s="67">
        <f>COUNTIFS(Продажи!$B$2:$B$1002, $A37, Продажи!$E$2:$E$1002, "&lt;=" &amp; H$2, Продажи!$F$2:$F$1002, "&gt;" &amp; H$2)</f>
        <v>0</v>
      </c>
      <c r="I37" s="67">
        <f>COUNTIFS(Продажи!$B$2:$B$1002, $A37, Продажи!$E$2:$E$1002, "&lt;=" &amp; I$2, Продажи!$F$2:$F$1002, "&gt;" &amp; I$2)</f>
        <v>0</v>
      </c>
      <c r="J37" s="67">
        <f>COUNTIFS(Продажи!$B$2:$B$1002, $A37, Продажи!$E$2:$E$1002, "&lt;=" &amp; J$2, Продажи!$F$2:$F$1002, "&gt;" &amp; J$2)</f>
        <v>0</v>
      </c>
      <c r="K37" s="67">
        <f>COUNTIFS(Продажи!$B$2:$B$1002, $A37, Продажи!$E$2:$E$1002, "&lt;=" &amp; K$2, Продажи!$F$2:$F$1002, "&gt;" &amp; K$2)</f>
        <v>0</v>
      </c>
      <c r="L37" s="67">
        <f>COUNTIFS(Продажи!$B$2:$B$1002, $A37, Продажи!$E$2:$E$1002, "&lt;=" &amp; L$2, Продажи!$F$2:$F$1002, "&gt;" &amp; L$2)</f>
        <v>0</v>
      </c>
      <c r="M37" s="67">
        <f>COUNTIFS(Продажи!$B$2:$B$1002, $A37, Продажи!$E$2:$E$1002, "&lt;=" &amp; M$2, Продажи!$F$2:$F$1002, "&gt;" &amp; M$2)</f>
        <v>0</v>
      </c>
      <c r="N37" s="67">
        <f>COUNTIFS(Продажи!$B$2:$B$1002, $A37, Продажи!$E$2:$E$1002, "&lt;=" &amp; N$2, Продажи!$F$2:$F$1002, "&gt;" &amp; N$2)</f>
        <v>0</v>
      </c>
      <c r="O37" s="67">
        <f>COUNTIFS(Продажи!$B$2:$B$1002, $A37, Продажи!$E$2:$E$1002, "&lt;=" &amp; O$2, Продажи!$F$2:$F$1002, "&gt;" &amp; O$2)</f>
        <v>0</v>
      </c>
      <c r="P37" s="67">
        <f>COUNTIFS(Продажи!$B$2:$B$1002, $A37, Продажи!$E$2:$E$1002, "&lt;=" &amp; P$2, Продажи!$F$2:$F$1002, "&gt;" &amp; P$2)</f>
        <v>0</v>
      </c>
      <c r="Q37" s="67">
        <f>COUNTIFS(Продажи!$B$2:$B$1002, $A37, Продажи!$E$2:$E$1002, "&lt;=" &amp; Q$2, Продажи!$F$2:$F$1002, "&gt;" &amp; Q$2)</f>
        <v>0</v>
      </c>
      <c r="R37" s="67">
        <f>COUNTIFS(Продажи!$B$2:$B$1002, $A37, Продажи!$E$2:$E$1002, "&lt;=" &amp; R$2, Продажи!$F$2:$F$1002, "&gt;" &amp; R$2)</f>
        <v>0</v>
      </c>
      <c r="S37" s="67">
        <f>COUNTIFS(Продажи!$B$2:$B$1002, $A37, Продажи!$E$2:$E$1002, "&lt;=" &amp; S$2, Продажи!$F$2:$F$1002, "&gt;" &amp; S$2)</f>
        <v>0</v>
      </c>
      <c r="T37" s="67">
        <f>COUNTIFS(Продажи!$B$2:$B$1002, $A37, Продажи!$E$2:$E$1002, "&lt;=" &amp; T$2, Продажи!$F$2:$F$1002, "&gt;" &amp; T$2)</f>
        <v>0</v>
      </c>
      <c r="U37" s="67">
        <f>COUNTIFS(Продажи!$B$2:$B$1002, $A37, Продажи!$E$2:$E$1002, "&lt;=" &amp; U$2, Продажи!$F$2:$F$1002, "&gt;" &amp; U$2)</f>
        <v>0</v>
      </c>
      <c r="V37" s="67">
        <f>COUNTIFS(Продажи!$B$2:$B$1002, $A37, Продажи!$E$2:$E$1002, "&lt;=" &amp; V$2, Продажи!$F$2:$F$1002, "&gt;" &amp; V$2)</f>
        <v>0</v>
      </c>
      <c r="W37" s="67">
        <f>COUNTIFS(Продажи!$B$2:$B$1002, $A37, Продажи!$E$2:$E$1002, "&lt;=" &amp; W$2, Продажи!$F$2:$F$1002, "&gt;" &amp; W$2)</f>
        <v>0</v>
      </c>
      <c r="X37" s="67">
        <f>COUNTIFS(Продажи!$B$2:$B$1002, $A37, Продажи!$E$2:$E$1002, "&lt;=" &amp; X$2, Продажи!$F$2:$F$1002, "&gt;" &amp; X$2)</f>
        <v>0</v>
      </c>
      <c r="Y37" s="67">
        <f>COUNTIFS(Продажи!$B$2:$B$1002, $A37, Продажи!$E$2:$E$1002, "&lt;=" &amp; Y$2, Продажи!$F$2:$F$1002, "&gt;" &amp; Y$2)</f>
        <v>0</v>
      </c>
      <c r="Z37" s="67">
        <f>COUNTIFS(Продажи!$B$2:$B$1002, $A37, Продажи!$E$2:$E$1002, "&lt;=" &amp; Z$2, Продажи!$F$2:$F$1002, "&gt;" &amp; Z$2)</f>
        <v>0</v>
      </c>
      <c r="AA37" s="67">
        <f>COUNTIFS(Продажи!$B$2:$B$1002, $A37, Продажи!$E$2:$E$1002, "&lt;=" &amp; AA$2, Продажи!$F$2:$F$1002, "&gt;" &amp; AA$2)</f>
        <v>0</v>
      </c>
      <c r="AB37" s="67">
        <f>COUNTIFS(Продажи!$B$2:$B$1002, $A37, Продажи!$E$2:$E$1002, "&lt;=" &amp; AB$2, Продажи!$F$2:$F$1002, "&gt;" &amp; AB$2)</f>
        <v>0</v>
      </c>
      <c r="AC37" s="67">
        <f>COUNTIFS(Продажи!$B$2:$B$1002, $A37, Продажи!$E$2:$E$1002, "&lt;=" &amp; AC$2, Продажи!$F$2:$F$1002, "&gt;" &amp; AC$2)</f>
        <v>0</v>
      </c>
      <c r="AD37" s="67">
        <f>COUNTIFS(Продажи!$B$2:$B$1002, $A37, Продажи!$E$2:$E$1002, "&lt;=" &amp; AD$2, Продажи!$F$2:$F$1002, "&gt;" &amp; AD$2)</f>
        <v>0</v>
      </c>
      <c r="AE37" s="67">
        <f t="shared" si="0"/>
        <v>0</v>
      </c>
      <c r="AF37" s="64" t="str">
        <f ca="1">IF(SUM(OFFSET($B37,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7" s="98">
        <f>VLOOKUP(A37,ID_купе[],2,0)</f>
        <v>9</v>
      </c>
      <c r="AH37" s="132" t="str">
        <f t="shared" ca="1" si="1"/>
        <v>Частично</v>
      </c>
    </row>
    <row r="38" spans="1:34" x14ac:dyDescent="0.25">
      <c r="A38" s="68">
        <v>36</v>
      </c>
      <c r="B38" s="67">
        <f>COUNTIFS(Продажи!$B$2:$B$1002, $A38, Продажи!$E$2:$E$1002, "&lt;=" &amp; B$2, Продажи!$F$2:$F$1002, "&gt;" &amp; B$2)</f>
        <v>0</v>
      </c>
      <c r="C38" s="67">
        <f>COUNTIFS(Продажи!$B$2:$B$1002, $A38, Продажи!$E$2:$E$1002, "&lt;=" &amp; C$2, Продажи!$F$2:$F$1002, "&gt;" &amp; C$2)</f>
        <v>0</v>
      </c>
      <c r="D38" s="67">
        <f>COUNTIFS(Продажи!$B$2:$B$1002, $A38, Продажи!$E$2:$E$1002, "&lt;=" &amp; D$2, Продажи!$F$2:$F$1002, "&gt;" &amp; D$2)</f>
        <v>0</v>
      </c>
      <c r="E38" s="67">
        <f>COUNTIFS(Продажи!$B$2:$B$1002, $A38, Продажи!$E$2:$E$1002, "&lt;=" &amp; E$2, Продажи!$F$2:$F$1002, "&gt;" &amp; E$2)</f>
        <v>0</v>
      </c>
      <c r="F38" s="67">
        <f>COUNTIFS(Продажи!$B$2:$B$1002, $A38, Продажи!$E$2:$E$1002, "&lt;=" &amp; F$2, Продажи!$F$2:$F$1002, "&gt;" &amp; F$2)</f>
        <v>0</v>
      </c>
      <c r="G38" s="67">
        <f>COUNTIFS(Продажи!$B$2:$B$1002, $A38, Продажи!$E$2:$E$1002, "&lt;=" &amp; G$2, Продажи!$F$2:$F$1002, "&gt;" &amp; G$2)</f>
        <v>0</v>
      </c>
      <c r="H38" s="67">
        <f>COUNTIFS(Продажи!$B$2:$B$1002, $A38, Продажи!$E$2:$E$1002, "&lt;=" &amp; H$2, Продажи!$F$2:$F$1002, "&gt;" &amp; H$2)</f>
        <v>0</v>
      </c>
      <c r="I38" s="67">
        <f>COUNTIFS(Продажи!$B$2:$B$1002, $A38, Продажи!$E$2:$E$1002, "&lt;=" &amp; I$2, Продажи!$F$2:$F$1002, "&gt;" &amp; I$2)</f>
        <v>0</v>
      </c>
      <c r="J38" s="67">
        <f>COUNTIFS(Продажи!$B$2:$B$1002, $A38, Продажи!$E$2:$E$1002, "&lt;=" &amp; J$2, Продажи!$F$2:$F$1002, "&gt;" &amp; J$2)</f>
        <v>0</v>
      </c>
      <c r="K38" s="67">
        <f>COUNTIFS(Продажи!$B$2:$B$1002, $A38, Продажи!$E$2:$E$1002, "&lt;=" &amp; K$2, Продажи!$F$2:$F$1002, "&gt;" &amp; K$2)</f>
        <v>0</v>
      </c>
      <c r="L38" s="67">
        <f>COUNTIFS(Продажи!$B$2:$B$1002, $A38, Продажи!$E$2:$E$1002, "&lt;=" &amp; L$2, Продажи!$F$2:$F$1002, "&gt;" &amp; L$2)</f>
        <v>0</v>
      </c>
      <c r="M38" s="67">
        <f>COUNTIFS(Продажи!$B$2:$B$1002, $A38, Продажи!$E$2:$E$1002, "&lt;=" &amp; M$2, Продажи!$F$2:$F$1002, "&gt;" &amp; M$2)</f>
        <v>0</v>
      </c>
      <c r="N38" s="67">
        <f>COUNTIFS(Продажи!$B$2:$B$1002, $A38, Продажи!$E$2:$E$1002, "&lt;=" &amp; N$2, Продажи!$F$2:$F$1002, "&gt;" &amp; N$2)</f>
        <v>0</v>
      </c>
      <c r="O38" s="67">
        <f>COUNTIFS(Продажи!$B$2:$B$1002, $A38, Продажи!$E$2:$E$1002, "&lt;=" &amp; O$2, Продажи!$F$2:$F$1002, "&gt;" &amp; O$2)</f>
        <v>0</v>
      </c>
      <c r="P38" s="67">
        <f>COUNTIFS(Продажи!$B$2:$B$1002, $A38, Продажи!$E$2:$E$1002, "&lt;=" &amp; P$2, Продажи!$F$2:$F$1002, "&gt;" &amp; P$2)</f>
        <v>0</v>
      </c>
      <c r="Q38" s="67">
        <f>COUNTIFS(Продажи!$B$2:$B$1002, $A38, Продажи!$E$2:$E$1002, "&lt;=" &amp; Q$2, Продажи!$F$2:$F$1002, "&gt;" &amp; Q$2)</f>
        <v>0</v>
      </c>
      <c r="R38" s="67">
        <f>COUNTIFS(Продажи!$B$2:$B$1002, $A38, Продажи!$E$2:$E$1002, "&lt;=" &amp; R$2, Продажи!$F$2:$F$1002, "&gt;" &amp; R$2)</f>
        <v>0</v>
      </c>
      <c r="S38" s="67">
        <f>COUNTIFS(Продажи!$B$2:$B$1002, $A38, Продажи!$E$2:$E$1002, "&lt;=" &amp; S$2, Продажи!$F$2:$F$1002, "&gt;" &amp; S$2)</f>
        <v>0</v>
      </c>
      <c r="T38" s="67">
        <f>COUNTIFS(Продажи!$B$2:$B$1002, $A38, Продажи!$E$2:$E$1002, "&lt;=" &amp; T$2, Продажи!$F$2:$F$1002, "&gt;" &amp; T$2)</f>
        <v>0</v>
      </c>
      <c r="U38" s="67">
        <f>COUNTIFS(Продажи!$B$2:$B$1002, $A38, Продажи!$E$2:$E$1002, "&lt;=" &amp; U$2, Продажи!$F$2:$F$1002, "&gt;" &amp; U$2)</f>
        <v>0</v>
      </c>
      <c r="V38" s="67">
        <f>COUNTIFS(Продажи!$B$2:$B$1002, $A38, Продажи!$E$2:$E$1002, "&lt;=" &amp; V$2, Продажи!$F$2:$F$1002, "&gt;" &amp; V$2)</f>
        <v>0</v>
      </c>
      <c r="W38" s="67">
        <f>COUNTIFS(Продажи!$B$2:$B$1002, $A38, Продажи!$E$2:$E$1002, "&lt;=" &amp; W$2, Продажи!$F$2:$F$1002, "&gt;" &amp; W$2)</f>
        <v>0</v>
      </c>
      <c r="X38" s="67">
        <f>COUNTIFS(Продажи!$B$2:$B$1002, $A38, Продажи!$E$2:$E$1002, "&lt;=" &amp; X$2, Продажи!$F$2:$F$1002, "&gt;" &amp; X$2)</f>
        <v>0</v>
      </c>
      <c r="Y38" s="67">
        <f>COUNTIFS(Продажи!$B$2:$B$1002, $A38, Продажи!$E$2:$E$1002, "&lt;=" &amp; Y$2, Продажи!$F$2:$F$1002, "&gt;" &amp; Y$2)</f>
        <v>0</v>
      </c>
      <c r="Z38" s="67">
        <f>COUNTIFS(Продажи!$B$2:$B$1002, $A38, Продажи!$E$2:$E$1002, "&lt;=" &amp; Z$2, Продажи!$F$2:$F$1002, "&gt;" &amp; Z$2)</f>
        <v>0</v>
      </c>
      <c r="AA38" s="67">
        <f>COUNTIFS(Продажи!$B$2:$B$1002, $A38, Продажи!$E$2:$E$1002, "&lt;=" &amp; AA$2, Продажи!$F$2:$F$1002, "&gt;" &amp; AA$2)</f>
        <v>0</v>
      </c>
      <c r="AB38" s="67">
        <f>COUNTIFS(Продажи!$B$2:$B$1002, $A38, Продажи!$E$2:$E$1002, "&lt;=" &amp; AB$2, Продажи!$F$2:$F$1002, "&gt;" &amp; AB$2)</f>
        <v>0</v>
      </c>
      <c r="AC38" s="67">
        <f>COUNTIFS(Продажи!$B$2:$B$1002, $A38, Продажи!$E$2:$E$1002, "&lt;=" &amp; AC$2, Продажи!$F$2:$F$1002, "&gt;" &amp; AC$2)</f>
        <v>0</v>
      </c>
      <c r="AD38" s="67">
        <f>COUNTIFS(Продажи!$B$2:$B$1002, $A38, Продажи!$E$2:$E$1002, "&lt;=" &amp; AD$2, Продажи!$F$2:$F$1002, "&gt;" &amp; AD$2)</f>
        <v>0</v>
      </c>
      <c r="AE38" s="67">
        <f t="shared" si="0"/>
        <v>0</v>
      </c>
      <c r="AF38" s="64" t="str">
        <f ca="1">IF(SUM(OFFSET($B38,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8" s="98">
        <f>VLOOKUP(A38,ID_купе[],2,0)</f>
        <v>9</v>
      </c>
      <c r="AH38" s="132" t="str">
        <f t="shared" ca="1" si="1"/>
        <v>Частично</v>
      </c>
    </row>
    <row r="39" spans="1:34" x14ac:dyDescent="0.25">
      <c r="A39" s="68">
        <v>37</v>
      </c>
      <c r="B39" s="67">
        <f>COUNTIFS(Продажи!$B$2:$B$1002, $A39, Продажи!$E$2:$E$1002, "&lt;=" &amp; B$2, Продажи!$F$2:$F$1002, "&gt;" &amp; B$2)</f>
        <v>0</v>
      </c>
      <c r="C39" s="67">
        <f>COUNTIFS(Продажи!$B$2:$B$1002, $A39, Продажи!$E$2:$E$1002, "&lt;=" &amp; C$2, Продажи!$F$2:$F$1002, "&gt;" &amp; C$2)</f>
        <v>0</v>
      </c>
      <c r="D39" s="67">
        <f>COUNTIFS(Продажи!$B$2:$B$1002, $A39, Продажи!$E$2:$E$1002, "&lt;=" &amp; D$2, Продажи!$F$2:$F$1002, "&gt;" &amp; D$2)</f>
        <v>0</v>
      </c>
      <c r="E39" s="67">
        <f>COUNTIFS(Продажи!$B$2:$B$1002, $A39, Продажи!$E$2:$E$1002, "&lt;=" &amp; E$2, Продажи!$F$2:$F$1002, "&gt;" &amp; E$2)</f>
        <v>0</v>
      </c>
      <c r="F39" s="67">
        <f>COUNTIFS(Продажи!$B$2:$B$1002, $A39, Продажи!$E$2:$E$1002, "&lt;=" &amp; F$2, Продажи!$F$2:$F$1002, "&gt;" &amp; F$2)</f>
        <v>0</v>
      </c>
      <c r="G39" s="67">
        <f>COUNTIFS(Продажи!$B$2:$B$1002, $A39, Продажи!$E$2:$E$1002, "&lt;=" &amp; G$2, Продажи!$F$2:$F$1002, "&gt;" &amp; G$2)</f>
        <v>0</v>
      </c>
      <c r="H39" s="67">
        <f>COUNTIFS(Продажи!$B$2:$B$1002, $A39, Продажи!$E$2:$E$1002, "&lt;=" &amp; H$2, Продажи!$F$2:$F$1002, "&gt;" &amp; H$2)</f>
        <v>0</v>
      </c>
      <c r="I39" s="67">
        <f>COUNTIFS(Продажи!$B$2:$B$1002, $A39, Продажи!$E$2:$E$1002, "&lt;=" &amp; I$2, Продажи!$F$2:$F$1002, "&gt;" &amp; I$2)</f>
        <v>0</v>
      </c>
      <c r="J39" s="67">
        <f>COUNTIFS(Продажи!$B$2:$B$1002, $A39, Продажи!$E$2:$E$1002, "&lt;=" &amp; J$2, Продажи!$F$2:$F$1002, "&gt;" &amp; J$2)</f>
        <v>0</v>
      </c>
      <c r="K39" s="67">
        <f>COUNTIFS(Продажи!$B$2:$B$1002, $A39, Продажи!$E$2:$E$1002, "&lt;=" &amp; K$2, Продажи!$F$2:$F$1002, "&gt;" &amp; K$2)</f>
        <v>0</v>
      </c>
      <c r="L39" s="67">
        <f>COUNTIFS(Продажи!$B$2:$B$1002, $A39, Продажи!$E$2:$E$1002, "&lt;=" &amp; L$2, Продажи!$F$2:$F$1002, "&gt;" &amp; L$2)</f>
        <v>0</v>
      </c>
      <c r="M39" s="67">
        <f>COUNTIFS(Продажи!$B$2:$B$1002, $A39, Продажи!$E$2:$E$1002, "&lt;=" &amp; M$2, Продажи!$F$2:$F$1002, "&gt;" &amp; M$2)</f>
        <v>0</v>
      </c>
      <c r="N39" s="67">
        <f>COUNTIFS(Продажи!$B$2:$B$1002, $A39, Продажи!$E$2:$E$1002, "&lt;=" &amp; N$2, Продажи!$F$2:$F$1002, "&gt;" &amp; N$2)</f>
        <v>0</v>
      </c>
      <c r="O39" s="67">
        <f>COUNTIFS(Продажи!$B$2:$B$1002, $A39, Продажи!$E$2:$E$1002, "&lt;=" &amp; O$2, Продажи!$F$2:$F$1002, "&gt;" &amp; O$2)</f>
        <v>0</v>
      </c>
      <c r="P39" s="67">
        <f>COUNTIFS(Продажи!$B$2:$B$1002, $A39, Продажи!$E$2:$E$1002, "&lt;=" &amp; P$2, Продажи!$F$2:$F$1002, "&gt;" &amp; P$2)</f>
        <v>0</v>
      </c>
      <c r="Q39" s="67">
        <f>COUNTIFS(Продажи!$B$2:$B$1002, $A39, Продажи!$E$2:$E$1002, "&lt;=" &amp; Q$2, Продажи!$F$2:$F$1002, "&gt;" &amp; Q$2)</f>
        <v>0</v>
      </c>
      <c r="R39" s="67">
        <f>COUNTIFS(Продажи!$B$2:$B$1002, $A39, Продажи!$E$2:$E$1002, "&lt;=" &amp; R$2, Продажи!$F$2:$F$1002, "&gt;" &amp; R$2)</f>
        <v>0</v>
      </c>
      <c r="S39" s="67">
        <f>COUNTIFS(Продажи!$B$2:$B$1002, $A39, Продажи!$E$2:$E$1002, "&lt;=" &amp; S$2, Продажи!$F$2:$F$1002, "&gt;" &amp; S$2)</f>
        <v>0</v>
      </c>
      <c r="T39" s="67">
        <f>COUNTIFS(Продажи!$B$2:$B$1002, $A39, Продажи!$E$2:$E$1002, "&lt;=" &amp; T$2, Продажи!$F$2:$F$1002, "&gt;" &amp; T$2)</f>
        <v>0</v>
      </c>
      <c r="U39" s="67">
        <f>COUNTIFS(Продажи!$B$2:$B$1002, $A39, Продажи!$E$2:$E$1002, "&lt;=" &amp; U$2, Продажи!$F$2:$F$1002, "&gt;" &amp; U$2)</f>
        <v>0</v>
      </c>
      <c r="V39" s="67">
        <f>COUNTIFS(Продажи!$B$2:$B$1002, $A39, Продажи!$E$2:$E$1002, "&lt;=" &amp; V$2, Продажи!$F$2:$F$1002, "&gt;" &amp; V$2)</f>
        <v>0</v>
      </c>
      <c r="W39" s="67">
        <f>COUNTIFS(Продажи!$B$2:$B$1002, $A39, Продажи!$E$2:$E$1002, "&lt;=" &amp; W$2, Продажи!$F$2:$F$1002, "&gt;" &amp; W$2)</f>
        <v>0</v>
      </c>
      <c r="X39" s="67">
        <f>COUNTIFS(Продажи!$B$2:$B$1002, $A39, Продажи!$E$2:$E$1002, "&lt;=" &amp; X$2, Продажи!$F$2:$F$1002, "&gt;" &amp; X$2)</f>
        <v>0</v>
      </c>
      <c r="Y39" s="67">
        <f>COUNTIFS(Продажи!$B$2:$B$1002, $A39, Продажи!$E$2:$E$1002, "&lt;=" &amp; Y$2, Продажи!$F$2:$F$1002, "&gt;" &amp; Y$2)</f>
        <v>0</v>
      </c>
      <c r="Z39" s="67">
        <f>COUNTIFS(Продажи!$B$2:$B$1002, $A39, Продажи!$E$2:$E$1002, "&lt;=" &amp; Z$2, Продажи!$F$2:$F$1002, "&gt;" &amp; Z$2)</f>
        <v>0</v>
      </c>
      <c r="AA39" s="67">
        <f>COUNTIFS(Продажи!$B$2:$B$1002, $A39, Продажи!$E$2:$E$1002, "&lt;=" &amp; AA$2, Продажи!$F$2:$F$1002, "&gt;" &amp; AA$2)</f>
        <v>0</v>
      </c>
      <c r="AB39" s="67">
        <f>COUNTIFS(Продажи!$B$2:$B$1002, $A39, Продажи!$E$2:$E$1002, "&lt;=" &amp; AB$2, Продажи!$F$2:$F$1002, "&gt;" &amp; AB$2)</f>
        <v>0</v>
      </c>
      <c r="AC39" s="67">
        <f>COUNTIFS(Продажи!$B$2:$B$1002, $A39, Продажи!$E$2:$E$1002, "&lt;=" &amp; AC$2, Продажи!$F$2:$F$1002, "&gt;" &amp; AC$2)</f>
        <v>0</v>
      </c>
      <c r="AD39" s="67">
        <f>COUNTIFS(Продажи!$B$2:$B$1002, $A39, Продажи!$E$2:$E$1002, "&lt;=" &amp; AD$2, Продажи!$F$2:$F$1002, "&gt;" &amp; AD$2)</f>
        <v>0</v>
      </c>
      <c r="AE39" s="67">
        <f t="shared" si="0"/>
        <v>0</v>
      </c>
      <c r="AF39" s="64" t="str">
        <f ca="1">IF(SUM(OFFSET($B39,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39" s="98">
        <f>VLOOKUP(A39,ID_купе[],2,0)</f>
        <v>9</v>
      </c>
      <c r="AH39" s="132" t="str">
        <f t="shared" ca="1" si="1"/>
        <v>Частично</v>
      </c>
    </row>
    <row r="40" spans="1:34" x14ac:dyDescent="0.25">
      <c r="A40" s="68">
        <v>38</v>
      </c>
      <c r="B40" s="67">
        <f>COUNTIFS(Продажи!$B$2:$B$1002, $A40, Продажи!$E$2:$E$1002, "&lt;=" &amp; B$2, Продажи!$F$2:$F$1002, "&gt;" &amp; B$2)</f>
        <v>0</v>
      </c>
      <c r="C40" s="67">
        <f>COUNTIFS(Продажи!$B$2:$B$1002, $A40, Продажи!$E$2:$E$1002, "&lt;=" &amp; C$2, Продажи!$F$2:$F$1002, "&gt;" &amp; C$2)</f>
        <v>0</v>
      </c>
      <c r="D40" s="67">
        <f>COUNTIFS(Продажи!$B$2:$B$1002, $A40, Продажи!$E$2:$E$1002, "&lt;=" &amp; D$2, Продажи!$F$2:$F$1002, "&gt;" &amp; D$2)</f>
        <v>0</v>
      </c>
      <c r="E40" s="67">
        <f>COUNTIFS(Продажи!$B$2:$B$1002, $A40, Продажи!$E$2:$E$1002, "&lt;=" &amp; E$2, Продажи!$F$2:$F$1002, "&gt;" &amp; E$2)</f>
        <v>0</v>
      </c>
      <c r="F40" s="67">
        <f>COUNTIFS(Продажи!$B$2:$B$1002, $A40, Продажи!$E$2:$E$1002, "&lt;=" &amp; F$2, Продажи!$F$2:$F$1002, "&gt;" &amp; F$2)</f>
        <v>0</v>
      </c>
      <c r="G40" s="67">
        <f>COUNTIFS(Продажи!$B$2:$B$1002, $A40, Продажи!$E$2:$E$1002, "&lt;=" &amp; G$2, Продажи!$F$2:$F$1002, "&gt;" &amp; G$2)</f>
        <v>0</v>
      </c>
      <c r="H40" s="67">
        <f>COUNTIFS(Продажи!$B$2:$B$1002, $A40, Продажи!$E$2:$E$1002, "&lt;=" &amp; H$2, Продажи!$F$2:$F$1002, "&gt;" &amp; H$2)</f>
        <v>0</v>
      </c>
      <c r="I40" s="67">
        <f>COUNTIFS(Продажи!$B$2:$B$1002, $A40, Продажи!$E$2:$E$1002, "&lt;=" &amp; I$2, Продажи!$F$2:$F$1002, "&gt;" &amp; I$2)</f>
        <v>0</v>
      </c>
      <c r="J40" s="67">
        <f>COUNTIFS(Продажи!$B$2:$B$1002, $A40, Продажи!$E$2:$E$1002, "&lt;=" &amp; J$2, Продажи!$F$2:$F$1002, "&gt;" &amp; J$2)</f>
        <v>0</v>
      </c>
      <c r="K40" s="67">
        <f>COUNTIFS(Продажи!$B$2:$B$1002, $A40, Продажи!$E$2:$E$1002, "&lt;=" &amp; K$2, Продажи!$F$2:$F$1002, "&gt;" &amp; K$2)</f>
        <v>0</v>
      </c>
      <c r="L40" s="67">
        <f>COUNTIFS(Продажи!$B$2:$B$1002, $A40, Продажи!$E$2:$E$1002, "&lt;=" &amp; L$2, Продажи!$F$2:$F$1002, "&gt;" &amp; L$2)</f>
        <v>0</v>
      </c>
      <c r="M40" s="67">
        <f>COUNTIFS(Продажи!$B$2:$B$1002, $A40, Продажи!$E$2:$E$1002, "&lt;=" &amp; M$2, Продажи!$F$2:$F$1002, "&gt;" &amp; M$2)</f>
        <v>0</v>
      </c>
      <c r="N40" s="67">
        <f>COUNTIFS(Продажи!$B$2:$B$1002, $A40, Продажи!$E$2:$E$1002, "&lt;=" &amp; N$2, Продажи!$F$2:$F$1002, "&gt;" &amp; N$2)</f>
        <v>0</v>
      </c>
      <c r="O40" s="67">
        <f>COUNTIFS(Продажи!$B$2:$B$1002, $A40, Продажи!$E$2:$E$1002, "&lt;=" &amp; O$2, Продажи!$F$2:$F$1002, "&gt;" &amp; O$2)</f>
        <v>0</v>
      </c>
      <c r="P40" s="67">
        <f>COUNTIFS(Продажи!$B$2:$B$1002, $A40, Продажи!$E$2:$E$1002, "&lt;=" &amp; P$2, Продажи!$F$2:$F$1002, "&gt;" &amp; P$2)</f>
        <v>0</v>
      </c>
      <c r="Q40" s="67">
        <f>COUNTIFS(Продажи!$B$2:$B$1002, $A40, Продажи!$E$2:$E$1002, "&lt;=" &amp; Q$2, Продажи!$F$2:$F$1002, "&gt;" &amp; Q$2)</f>
        <v>0</v>
      </c>
      <c r="R40" s="67">
        <f>COUNTIFS(Продажи!$B$2:$B$1002, $A40, Продажи!$E$2:$E$1002, "&lt;=" &amp; R$2, Продажи!$F$2:$F$1002, "&gt;" &amp; R$2)</f>
        <v>0</v>
      </c>
      <c r="S40" s="67">
        <f>COUNTIFS(Продажи!$B$2:$B$1002, $A40, Продажи!$E$2:$E$1002, "&lt;=" &amp; S$2, Продажи!$F$2:$F$1002, "&gt;" &amp; S$2)</f>
        <v>0</v>
      </c>
      <c r="T40" s="67">
        <f>COUNTIFS(Продажи!$B$2:$B$1002, $A40, Продажи!$E$2:$E$1002, "&lt;=" &amp; T$2, Продажи!$F$2:$F$1002, "&gt;" &amp; T$2)</f>
        <v>0</v>
      </c>
      <c r="U40" s="67">
        <f>COUNTIFS(Продажи!$B$2:$B$1002, $A40, Продажи!$E$2:$E$1002, "&lt;=" &amp; U$2, Продажи!$F$2:$F$1002, "&gt;" &amp; U$2)</f>
        <v>0</v>
      </c>
      <c r="V40" s="67">
        <f>COUNTIFS(Продажи!$B$2:$B$1002, $A40, Продажи!$E$2:$E$1002, "&lt;=" &amp; V$2, Продажи!$F$2:$F$1002, "&gt;" &amp; V$2)</f>
        <v>0</v>
      </c>
      <c r="W40" s="67">
        <f>COUNTIFS(Продажи!$B$2:$B$1002, $A40, Продажи!$E$2:$E$1002, "&lt;=" &amp; W$2, Продажи!$F$2:$F$1002, "&gt;" &amp; W$2)</f>
        <v>0</v>
      </c>
      <c r="X40" s="67">
        <f>COUNTIFS(Продажи!$B$2:$B$1002, $A40, Продажи!$E$2:$E$1002, "&lt;=" &amp; X$2, Продажи!$F$2:$F$1002, "&gt;" &amp; X$2)</f>
        <v>0</v>
      </c>
      <c r="Y40" s="67">
        <f>COUNTIFS(Продажи!$B$2:$B$1002, $A40, Продажи!$E$2:$E$1002, "&lt;=" &amp; Y$2, Продажи!$F$2:$F$1002, "&gt;" &amp; Y$2)</f>
        <v>0</v>
      </c>
      <c r="Z40" s="67">
        <f>COUNTIFS(Продажи!$B$2:$B$1002, $A40, Продажи!$E$2:$E$1002, "&lt;=" &amp; Z$2, Продажи!$F$2:$F$1002, "&gt;" &amp; Z$2)</f>
        <v>0</v>
      </c>
      <c r="AA40" s="67">
        <f>COUNTIFS(Продажи!$B$2:$B$1002, $A40, Продажи!$E$2:$E$1002, "&lt;=" &amp; AA$2, Продажи!$F$2:$F$1002, "&gt;" &amp; AA$2)</f>
        <v>0</v>
      </c>
      <c r="AB40" s="67">
        <f>COUNTIFS(Продажи!$B$2:$B$1002, $A40, Продажи!$E$2:$E$1002, "&lt;=" &amp; AB$2, Продажи!$F$2:$F$1002, "&gt;" &amp; AB$2)</f>
        <v>0</v>
      </c>
      <c r="AC40" s="67">
        <f>COUNTIFS(Продажи!$B$2:$B$1002, $A40, Продажи!$E$2:$E$1002, "&lt;=" &amp; AC$2, Продажи!$F$2:$F$1002, "&gt;" &amp; AC$2)</f>
        <v>0</v>
      </c>
      <c r="AD40" s="67">
        <f>COUNTIFS(Продажи!$B$2:$B$1002, $A40, Продажи!$E$2:$E$1002, "&lt;=" &amp; AD$2, Продажи!$F$2:$F$1002, "&gt;" &amp; AD$2)</f>
        <v>0</v>
      </c>
      <c r="AE40" s="67">
        <f t="shared" si="0"/>
        <v>0</v>
      </c>
      <c r="AF40" s="64" t="str">
        <f ca="1">IF(SUM(OFFSET($B40,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0" s="98">
        <f>VLOOKUP(A40,ID_купе[],2,0)</f>
        <v>9</v>
      </c>
      <c r="AH40" s="132" t="str">
        <f t="shared" ca="1" si="1"/>
        <v>Частично</v>
      </c>
    </row>
    <row r="41" spans="1:34" x14ac:dyDescent="0.25">
      <c r="A41" s="68">
        <v>39</v>
      </c>
      <c r="B41" s="67">
        <f>COUNTIFS(Продажи!$B$2:$B$1002, $A41, Продажи!$E$2:$E$1002, "&lt;=" &amp; B$2, Продажи!$F$2:$F$1002, "&gt;" &amp; B$2)</f>
        <v>0</v>
      </c>
      <c r="C41" s="67">
        <f>COUNTIFS(Продажи!$B$2:$B$1002, $A41, Продажи!$E$2:$E$1002, "&lt;=" &amp; C$2, Продажи!$F$2:$F$1002, "&gt;" &amp; C$2)</f>
        <v>0</v>
      </c>
      <c r="D41" s="67">
        <f>COUNTIFS(Продажи!$B$2:$B$1002, $A41, Продажи!$E$2:$E$1002, "&lt;=" &amp; D$2, Продажи!$F$2:$F$1002, "&gt;" &amp; D$2)</f>
        <v>0</v>
      </c>
      <c r="E41" s="67">
        <f>COUNTIFS(Продажи!$B$2:$B$1002, $A41, Продажи!$E$2:$E$1002, "&lt;=" &amp; E$2, Продажи!$F$2:$F$1002, "&gt;" &amp; E$2)</f>
        <v>1</v>
      </c>
      <c r="F41" s="67">
        <f>COUNTIFS(Продажи!$B$2:$B$1002, $A41, Продажи!$E$2:$E$1002, "&lt;=" &amp; F$2, Продажи!$F$2:$F$1002, "&gt;" &amp; F$2)</f>
        <v>1</v>
      </c>
      <c r="G41" s="67">
        <f>COUNTIFS(Продажи!$B$2:$B$1002, $A41, Продажи!$E$2:$E$1002, "&lt;=" &amp; G$2, Продажи!$F$2:$F$1002, "&gt;" &amp; G$2)</f>
        <v>1</v>
      </c>
      <c r="H41" s="67">
        <f>COUNTIFS(Продажи!$B$2:$B$1002, $A41, Продажи!$E$2:$E$1002, "&lt;=" &amp; H$2, Продажи!$F$2:$F$1002, "&gt;" &amp; H$2)</f>
        <v>1</v>
      </c>
      <c r="I41" s="67">
        <f>COUNTIFS(Продажи!$B$2:$B$1002, $A41, Продажи!$E$2:$E$1002, "&lt;=" &amp; I$2, Продажи!$F$2:$F$1002, "&gt;" &amp; I$2)</f>
        <v>1</v>
      </c>
      <c r="J41" s="67">
        <f>COUNTIFS(Продажи!$B$2:$B$1002, $A41, Продажи!$E$2:$E$1002, "&lt;=" &amp; J$2, Продажи!$F$2:$F$1002, "&gt;" &amp; J$2)</f>
        <v>1</v>
      </c>
      <c r="K41" s="67">
        <f>COUNTIFS(Продажи!$B$2:$B$1002, $A41, Продажи!$E$2:$E$1002, "&lt;=" &amp; K$2, Продажи!$F$2:$F$1002, "&gt;" &amp; K$2)</f>
        <v>1</v>
      </c>
      <c r="L41" s="67">
        <f>COUNTIFS(Продажи!$B$2:$B$1002, $A41, Продажи!$E$2:$E$1002, "&lt;=" &amp; L$2, Продажи!$F$2:$F$1002, "&gt;" &amp; L$2)</f>
        <v>1</v>
      </c>
      <c r="M41" s="67">
        <f>COUNTIFS(Продажи!$B$2:$B$1002, $A41, Продажи!$E$2:$E$1002, "&lt;=" &amp; M$2, Продажи!$F$2:$F$1002, "&gt;" &amp; M$2)</f>
        <v>1</v>
      </c>
      <c r="N41" s="67">
        <f>COUNTIFS(Продажи!$B$2:$B$1002, $A41, Продажи!$E$2:$E$1002, "&lt;=" &amp; N$2, Продажи!$F$2:$F$1002, "&gt;" &amp; N$2)</f>
        <v>1</v>
      </c>
      <c r="O41" s="67">
        <f>COUNTIFS(Продажи!$B$2:$B$1002, $A41, Продажи!$E$2:$E$1002, "&lt;=" &amp; O$2, Продажи!$F$2:$F$1002, "&gt;" &amp; O$2)</f>
        <v>1</v>
      </c>
      <c r="P41" s="67">
        <f>COUNTIFS(Продажи!$B$2:$B$1002, $A41, Продажи!$E$2:$E$1002, "&lt;=" &amp; P$2, Продажи!$F$2:$F$1002, "&gt;" &amp; P$2)</f>
        <v>1</v>
      </c>
      <c r="Q41" s="67">
        <f>COUNTIFS(Продажи!$B$2:$B$1002, $A41, Продажи!$E$2:$E$1002, "&lt;=" &amp; Q$2, Продажи!$F$2:$F$1002, "&gt;" &amp; Q$2)</f>
        <v>1</v>
      </c>
      <c r="R41" s="67">
        <f>COUNTIFS(Продажи!$B$2:$B$1002, $A41, Продажи!$E$2:$E$1002, "&lt;=" &amp; R$2, Продажи!$F$2:$F$1002, "&gt;" &amp; R$2)</f>
        <v>1</v>
      </c>
      <c r="S41" s="67">
        <f>COUNTIFS(Продажи!$B$2:$B$1002, $A41, Продажи!$E$2:$E$1002, "&lt;=" &amp; S$2, Продажи!$F$2:$F$1002, "&gt;" &amp; S$2)</f>
        <v>1</v>
      </c>
      <c r="T41" s="67">
        <f>COUNTIFS(Продажи!$B$2:$B$1002, $A41, Продажи!$E$2:$E$1002, "&lt;=" &amp; T$2, Продажи!$F$2:$F$1002, "&gt;" &amp; T$2)</f>
        <v>1</v>
      </c>
      <c r="U41" s="67">
        <f>COUNTIFS(Продажи!$B$2:$B$1002, $A41, Продажи!$E$2:$E$1002, "&lt;=" &amp; U$2, Продажи!$F$2:$F$1002, "&gt;" &amp; U$2)</f>
        <v>1</v>
      </c>
      <c r="V41" s="67">
        <f>COUNTIFS(Продажи!$B$2:$B$1002, $A41, Продажи!$E$2:$E$1002, "&lt;=" &amp; V$2, Продажи!$F$2:$F$1002, "&gt;" &amp; V$2)</f>
        <v>1</v>
      </c>
      <c r="W41" s="67">
        <f>COUNTIFS(Продажи!$B$2:$B$1002, $A41, Продажи!$E$2:$E$1002, "&lt;=" &amp; W$2, Продажи!$F$2:$F$1002, "&gt;" &amp; W$2)</f>
        <v>1</v>
      </c>
      <c r="X41" s="67">
        <f>COUNTIFS(Продажи!$B$2:$B$1002, $A41, Продажи!$E$2:$E$1002, "&lt;=" &amp; X$2, Продажи!$F$2:$F$1002, "&gt;" &amp; X$2)</f>
        <v>0</v>
      </c>
      <c r="Y41" s="67">
        <f>COUNTIFS(Продажи!$B$2:$B$1002, $A41, Продажи!$E$2:$E$1002, "&lt;=" &amp; Y$2, Продажи!$F$2:$F$1002, "&gt;" &amp; Y$2)</f>
        <v>0</v>
      </c>
      <c r="Z41" s="67">
        <f>COUNTIFS(Продажи!$B$2:$B$1002, $A41, Продажи!$E$2:$E$1002, "&lt;=" &amp; Z$2, Продажи!$F$2:$F$1002, "&gt;" &amp; Z$2)</f>
        <v>0</v>
      </c>
      <c r="AA41" s="67">
        <f>COUNTIFS(Продажи!$B$2:$B$1002, $A41, Продажи!$E$2:$E$1002, "&lt;=" &amp; AA$2, Продажи!$F$2:$F$1002, "&gt;" &amp; AA$2)</f>
        <v>0</v>
      </c>
      <c r="AB41" s="67">
        <f>COUNTIFS(Продажи!$B$2:$B$1002, $A41, Продажи!$E$2:$E$1002, "&lt;=" &amp; AB$2, Продажи!$F$2:$F$1002, "&gt;" &amp; AB$2)</f>
        <v>0</v>
      </c>
      <c r="AC41" s="67">
        <f>COUNTIFS(Продажи!$B$2:$B$1002, $A41, Продажи!$E$2:$E$1002, "&lt;=" &amp; AC$2, Продажи!$F$2:$F$1002, "&gt;" &amp; AC$2)</f>
        <v>0</v>
      </c>
      <c r="AD41" s="67">
        <f>COUNTIFS(Продажи!$B$2:$B$1002, $A41, Продажи!$E$2:$E$1002, "&lt;=" &amp; AD$2, Продажи!$F$2:$F$1002, "&gt;" &amp; AD$2)</f>
        <v>0</v>
      </c>
      <c r="AE41" s="67">
        <f t="shared" si="0"/>
        <v>19</v>
      </c>
      <c r="AF41" s="64" t="str">
        <f ca="1">IF(SUM(OFFSET($B41,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Мест нет</v>
      </c>
      <c r="AG41" s="98">
        <f>VLOOKUP(A41,ID_купе[],2,0)</f>
        <v>8</v>
      </c>
      <c r="AH41" s="132" t="str">
        <f t="shared" ca="1" si="1"/>
        <v>Занято</v>
      </c>
    </row>
    <row r="42" spans="1:34" x14ac:dyDescent="0.25">
      <c r="A42" s="68">
        <v>40</v>
      </c>
      <c r="B42" s="67">
        <f>COUNTIFS(Продажи!$B$2:$B$1002, $A42, Продажи!$E$2:$E$1002, "&lt;=" &amp; B$2, Продажи!$F$2:$F$1002, "&gt;" &amp; B$2)</f>
        <v>0</v>
      </c>
      <c r="C42" s="67">
        <f>COUNTIFS(Продажи!$B$2:$B$1002, $A42, Продажи!$E$2:$E$1002, "&lt;=" &amp; C$2, Продажи!$F$2:$F$1002, "&gt;" &amp; C$2)</f>
        <v>0</v>
      </c>
      <c r="D42" s="67">
        <f>COUNTIFS(Продажи!$B$2:$B$1002, $A42, Продажи!$E$2:$E$1002, "&lt;=" &amp; D$2, Продажи!$F$2:$F$1002, "&gt;" &amp; D$2)</f>
        <v>0</v>
      </c>
      <c r="E42" s="67">
        <f>COUNTIFS(Продажи!$B$2:$B$1002, $A42, Продажи!$E$2:$E$1002, "&lt;=" &amp; E$2, Продажи!$F$2:$F$1002, "&gt;" &amp; E$2)</f>
        <v>0</v>
      </c>
      <c r="F42" s="67">
        <f>COUNTIFS(Продажи!$B$2:$B$1002, $A42, Продажи!$E$2:$E$1002, "&lt;=" &amp; F$2, Продажи!$F$2:$F$1002, "&gt;" &amp; F$2)</f>
        <v>0</v>
      </c>
      <c r="G42" s="67">
        <f>COUNTIFS(Продажи!$B$2:$B$1002, $A42, Продажи!$E$2:$E$1002, "&lt;=" &amp; G$2, Продажи!$F$2:$F$1002, "&gt;" &amp; G$2)</f>
        <v>0</v>
      </c>
      <c r="H42" s="67">
        <f>COUNTIFS(Продажи!$B$2:$B$1002, $A42, Продажи!$E$2:$E$1002, "&lt;=" &amp; H$2, Продажи!$F$2:$F$1002, "&gt;" &amp; H$2)</f>
        <v>0</v>
      </c>
      <c r="I42" s="67">
        <f>COUNTIFS(Продажи!$B$2:$B$1002, $A42, Продажи!$E$2:$E$1002, "&lt;=" &amp; I$2, Продажи!$F$2:$F$1002, "&gt;" &amp; I$2)</f>
        <v>0</v>
      </c>
      <c r="J42" s="67">
        <f>COUNTIFS(Продажи!$B$2:$B$1002, $A42, Продажи!$E$2:$E$1002, "&lt;=" &amp; J$2, Продажи!$F$2:$F$1002, "&gt;" &amp; J$2)</f>
        <v>0</v>
      </c>
      <c r="K42" s="67">
        <f>COUNTIFS(Продажи!$B$2:$B$1002, $A42, Продажи!$E$2:$E$1002, "&lt;=" &amp; K$2, Продажи!$F$2:$F$1002, "&gt;" &amp; K$2)</f>
        <v>0</v>
      </c>
      <c r="L42" s="67">
        <f>COUNTIFS(Продажи!$B$2:$B$1002, $A42, Продажи!$E$2:$E$1002, "&lt;=" &amp; L$2, Продажи!$F$2:$F$1002, "&gt;" &amp; L$2)</f>
        <v>0</v>
      </c>
      <c r="M42" s="67">
        <f>COUNTIFS(Продажи!$B$2:$B$1002, $A42, Продажи!$E$2:$E$1002, "&lt;=" &amp; M$2, Продажи!$F$2:$F$1002, "&gt;" &amp; M$2)</f>
        <v>0</v>
      </c>
      <c r="N42" s="67">
        <f>COUNTIFS(Продажи!$B$2:$B$1002, $A42, Продажи!$E$2:$E$1002, "&lt;=" &amp; N$2, Продажи!$F$2:$F$1002, "&gt;" &amp; N$2)</f>
        <v>0</v>
      </c>
      <c r="O42" s="67">
        <f>COUNTIFS(Продажи!$B$2:$B$1002, $A42, Продажи!$E$2:$E$1002, "&lt;=" &amp; O$2, Продажи!$F$2:$F$1002, "&gt;" &amp; O$2)</f>
        <v>0</v>
      </c>
      <c r="P42" s="67">
        <f>COUNTIFS(Продажи!$B$2:$B$1002, $A42, Продажи!$E$2:$E$1002, "&lt;=" &amp; P$2, Продажи!$F$2:$F$1002, "&gt;" &amp; P$2)</f>
        <v>0</v>
      </c>
      <c r="Q42" s="67">
        <f>COUNTIFS(Продажи!$B$2:$B$1002, $A42, Продажи!$E$2:$E$1002, "&lt;=" &amp; Q$2, Продажи!$F$2:$F$1002, "&gt;" &amp; Q$2)</f>
        <v>0</v>
      </c>
      <c r="R42" s="67">
        <f>COUNTIFS(Продажи!$B$2:$B$1002, $A42, Продажи!$E$2:$E$1002, "&lt;=" &amp; R$2, Продажи!$F$2:$F$1002, "&gt;" &amp; R$2)</f>
        <v>0</v>
      </c>
      <c r="S42" s="67">
        <f>COUNTIFS(Продажи!$B$2:$B$1002, $A42, Продажи!$E$2:$E$1002, "&lt;=" &amp; S$2, Продажи!$F$2:$F$1002, "&gt;" &amp; S$2)</f>
        <v>0</v>
      </c>
      <c r="T42" s="67">
        <f>COUNTIFS(Продажи!$B$2:$B$1002, $A42, Продажи!$E$2:$E$1002, "&lt;=" &amp; T$2, Продажи!$F$2:$F$1002, "&gt;" &amp; T$2)</f>
        <v>0</v>
      </c>
      <c r="U42" s="67">
        <f>COUNTIFS(Продажи!$B$2:$B$1002, $A42, Продажи!$E$2:$E$1002, "&lt;=" &amp; U$2, Продажи!$F$2:$F$1002, "&gt;" &amp; U$2)</f>
        <v>0</v>
      </c>
      <c r="V42" s="67">
        <f>COUNTIFS(Продажи!$B$2:$B$1002, $A42, Продажи!$E$2:$E$1002, "&lt;=" &amp; V$2, Продажи!$F$2:$F$1002, "&gt;" &amp; V$2)</f>
        <v>0</v>
      </c>
      <c r="W42" s="67">
        <f>COUNTIFS(Продажи!$B$2:$B$1002, $A42, Продажи!$E$2:$E$1002, "&lt;=" &amp; W$2, Продажи!$F$2:$F$1002, "&gt;" &amp; W$2)</f>
        <v>0</v>
      </c>
      <c r="X42" s="67">
        <f>COUNTIFS(Продажи!$B$2:$B$1002, $A42, Продажи!$E$2:$E$1002, "&lt;=" &amp; X$2, Продажи!$F$2:$F$1002, "&gt;" &amp; X$2)</f>
        <v>0</v>
      </c>
      <c r="Y42" s="67">
        <f>COUNTIFS(Продажи!$B$2:$B$1002, $A42, Продажи!$E$2:$E$1002, "&lt;=" &amp; Y$2, Продажи!$F$2:$F$1002, "&gt;" &amp; Y$2)</f>
        <v>0</v>
      </c>
      <c r="Z42" s="67">
        <f>COUNTIFS(Продажи!$B$2:$B$1002, $A42, Продажи!$E$2:$E$1002, "&lt;=" &amp; Z$2, Продажи!$F$2:$F$1002, "&gt;" &amp; Z$2)</f>
        <v>0</v>
      </c>
      <c r="AA42" s="67">
        <f>COUNTIFS(Продажи!$B$2:$B$1002, $A42, Продажи!$E$2:$E$1002, "&lt;=" &amp; AA$2, Продажи!$F$2:$F$1002, "&gt;" &amp; AA$2)</f>
        <v>0</v>
      </c>
      <c r="AB42" s="67">
        <f>COUNTIFS(Продажи!$B$2:$B$1002, $A42, Продажи!$E$2:$E$1002, "&lt;=" &amp; AB$2, Продажи!$F$2:$F$1002, "&gt;" &amp; AB$2)</f>
        <v>0</v>
      </c>
      <c r="AC42" s="67">
        <f>COUNTIFS(Продажи!$B$2:$B$1002, $A42, Продажи!$E$2:$E$1002, "&lt;=" &amp; AC$2, Продажи!$F$2:$F$1002, "&gt;" &amp; AC$2)</f>
        <v>0</v>
      </c>
      <c r="AD42" s="67">
        <f>COUNTIFS(Продажи!$B$2:$B$1002, $A42, Продажи!$E$2:$E$1002, "&lt;=" &amp; AD$2, Продажи!$F$2:$F$1002, "&gt;" &amp; AD$2)</f>
        <v>0</v>
      </c>
      <c r="AE42" s="67">
        <f t="shared" si="0"/>
        <v>0</v>
      </c>
      <c r="AF42" s="64" t="str">
        <f ca="1">IF(SUM(OFFSET($B42,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2" s="98">
        <f>VLOOKUP(A42,ID_купе[],2,0)</f>
        <v>8</v>
      </c>
      <c r="AH42" s="132" t="str">
        <f t="shared" ca="1" si="1"/>
        <v>Частично</v>
      </c>
    </row>
    <row r="43" spans="1:34" x14ac:dyDescent="0.25">
      <c r="A43" s="68">
        <v>41</v>
      </c>
      <c r="B43" s="67">
        <f>COUNTIFS(Продажи!$B$2:$B$1002, $A43, Продажи!$E$2:$E$1002, "&lt;=" &amp; B$2, Продажи!$F$2:$F$1002, "&gt;" &amp; B$2)</f>
        <v>0</v>
      </c>
      <c r="C43" s="67">
        <f>COUNTIFS(Продажи!$B$2:$B$1002, $A43, Продажи!$E$2:$E$1002, "&lt;=" &amp; C$2, Продажи!$F$2:$F$1002, "&gt;" &amp; C$2)</f>
        <v>0</v>
      </c>
      <c r="D43" s="67">
        <f>COUNTIFS(Продажи!$B$2:$B$1002, $A43, Продажи!$E$2:$E$1002, "&lt;=" &amp; D$2, Продажи!$F$2:$F$1002, "&gt;" &amp; D$2)</f>
        <v>0</v>
      </c>
      <c r="E43" s="67">
        <f>COUNTIFS(Продажи!$B$2:$B$1002, $A43, Продажи!$E$2:$E$1002, "&lt;=" &amp; E$2, Продажи!$F$2:$F$1002, "&gt;" &amp; E$2)</f>
        <v>0</v>
      </c>
      <c r="F43" s="67">
        <f>COUNTIFS(Продажи!$B$2:$B$1002, $A43, Продажи!$E$2:$E$1002, "&lt;=" &amp; F$2, Продажи!$F$2:$F$1002, "&gt;" &amp; F$2)</f>
        <v>0</v>
      </c>
      <c r="G43" s="67">
        <f>COUNTIFS(Продажи!$B$2:$B$1002, $A43, Продажи!$E$2:$E$1002, "&lt;=" &amp; G$2, Продажи!$F$2:$F$1002, "&gt;" &amp; G$2)</f>
        <v>0</v>
      </c>
      <c r="H43" s="67">
        <f>COUNTIFS(Продажи!$B$2:$B$1002, $A43, Продажи!$E$2:$E$1002, "&lt;=" &amp; H$2, Продажи!$F$2:$F$1002, "&gt;" &amp; H$2)</f>
        <v>0</v>
      </c>
      <c r="I43" s="67">
        <f>COUNTIFS(Продажи!$B$2:$B$1002, $A43, Продажи!$E$2:$E$1002, "&lt;=" &amp; I$2, Продажи!$F$2:$F$1002, "&gt;" &amp; I$2)</f>
        <v>0</v>
      </c>
      <c r="J43" s="67">
        <f>COUNTIFS(Продажи!$B$2:$B$1002, $A43, Продажи!$E$2:$E$1002, "&lt;=" &amp; J$2, Продажи!$F$2:$F$1002, "&gt;" &amp; J$2)</f>
        <v>0</v>
      </c>
      <c r="K43" s="67">
        <f>COUNTIFS(Продажи!$B$2:$B$1002, $A43, Продажи!$E$2:$E$1002, "&lt;=" &amp; K$2, Продажи!$F$2:$F$1002, "&gt;" &amp; K$2)</f>
        <v>0</v>
      </c>
      <c r="L43" s="67">
        <f>COUNTIFS(Продажи!$B$2:$B$1002, $A43, Продажи!$E$2:$E$1002, "&lt;=" &amp; L$2, Продажи!$F$2:$F$1002, "&gt;" &amp; L$2)</f>
        <v>0</v>
      </c>
      <c r="M43" s="67">
        <f>COUNTIFS(Продажи!$B$2:$B$1002, $A43, Продажи!$E$2:$E$1002, "&lt;=" &amp; M$2, Продажи!$F$2:$F$1002, "&gt;" &amp; M$2)</f>
        <v>0</v>
      </c>
      <c r="N43" s="67">
        <f>COUNTIFS(Продажи!$B$2:$B$1002, $A43, Продажи!$E$2:$E$1002, "&lt;=" &amp; N$2, Продажи!$F$2:$F$1002, "&gt;" &amp; N$2)</f>
        <v>0</v>
      </c>
      <c r="O43" s="67">
        <f>COUNTIFS(Продажи!$B$2:$B$1002, $A43, Продажи!$E$2:$E$1002, "&lt;=" &amp; O$2, Продажи!$F$2:$F$1002, "&gt;" &amp; O$2)</f>
        <v>0</v>
      </c>
      <c r="P43" s="67">
        <f>COUNTIFS(Продажи!$B$2:$B$1002, $A43, Продажи!$E$2:$E$1002, "&lt;=" &amp; P$2, Продажи!$F$2:$F$1002, "&gt;" &amp; P$2)</f>
        <v>0</v>
      </c>
      <c r="Q43" s="67">
        <f>COUNTIFS(Продажи!$B$2:$B$1002, $A43, Продажи!$E$2:$E$1002, "&lt;=" &amp; Q$2, Продажи!$F$2:$F$1002, "&gt;" &amp; Q$2)</f>
        <v>0</v>
      </c>
      <c r="R43" s="67">
        <f>COUNTIFS(Продажи!$B$2:$B$1002, $A43, Продажи!$E$2:$E$1002, "&lt;=" &amp; R$2, Продажи!$F$2:$F$1002, "&gt;" &amp; R$2)</f>
        <v>0</v>
      </c>
      <c r="S43" s="67">
        <f>COUNTIFS(Продажи!$B$2:$B$1002, $A43, Продажи!$E$2:$E$1002, "&lt;=" &amp; S$2, Продажи!$F$2:$F$1002, "&gt;" &amp; S$2)</f>
        <v>0</v>
      </c>
      <c r="T43" s="67">
        <f>COUNTIFS(Продажи!$B$2:$B$1002, $A43, Продажи!$E$2:$E$1002, "&lt;=" &amp; T$2, Продажи!$F$2:$F$1002, "&gt;" &amp; T$2)</f>
        <v>0</v>
      </c>
      <c r="U43" s="67">
        <f>COUNTIFS(Продажи!$B$2:$B$1002, $A43, Продажи!$E$2:$E$1002, "&lt;=" &amp; U$2, Продажи!$F$2:$F$1002, "&gt;" &amp; U$2)</f>
        <v>0</v>
      </c>
      <c r="V43" s="67">
        <f>COUNTIFS(Продажи!$B$2:$B$1002, $A43, Продажи!$E$2:$E$1002, "&lt;=" &amp; V$2, Продажи!$F$2:$F$1002, "&gt;" &amp; V$2)</f>
        <v>0</v>
      </c>
      <c r="W43" s="67">
        <f>COUNTIFS(Продажи!$B$2:$B$1002, $A43, Продажи!$E$2:$E$1002, "&lt;=" &amp; W$2, Продажи!$F$2:$F$1002, "&gt;" &amp; W$2)</f>
        <v>0</v>
      </c>
      <c r="X43" s="67">
        <f>COUNTIFS(Продажи!$B$2:$B$1002, $A43, Продажи!$E$2:$E$1002, "&lt;=" &amp; X$2, Продажи!$F$2:$F$1002, "&gt;" &amp; X$2)</f>
        <v>0</v>
      </c>
      <c r="Y43" s="67">
        <f>COUNTIFS(Продажи!$B$2:$B$1002, $A43, Продажи!$E$2:$E$1002, "&lt;=" &amp; Y$2, Продажи!$F$2:$F$1002, "&gt;" &amp; Y$2)</f>
        <v>0</v>
      </c>
      <c r="Z43" s="67">
        <f>COUNTIFS(Продажи!$B$2:$B$1002, $A43, Продажи!$E$2:$E$1002, "&lt;=" &amp; Z$2, Продажи!$F$2:$F$1002, "&gt;" &amp; Z$2)</f>
        <v>0</v>
      </c>
      <c r="AA43" s="67">
        <f>COUNTIFS(Продажи!$B$2:$B$1002, $A43, Продажи!$E$2:$E$1002, "&lt;=" &amp; AA$2, Продажи!$F$2:$F$1002, "&gt;" &amp; AA$2)</f>
        <v>0</v>
      </c>
      <c r="AB43" s="67">
        <f>COUNTIFS(Продажи!$B$2:$B$1002, $A43, Продажи!$E$2:$E$1002, "&lt;=" &amp; AB$2, Продажи!$F$2:$F$1002, "&gt;" &amp; AB$2)</f>
        <v>0</v>
      </c>
      <c r="AC43" s="67">
        <f>COUNTIFS(Продажи!$B$2:$B$1002, $A43, Продажи!$E$2:$E$1002, "&lt;=" &amp; AC$2, Продажи!$F$2:$F$1002, "&gt;" &amp; AC$2)</f>
        <v>0</v>
      </c>
      <c r="AD43" s="67">
        <f>COUNTIFS(Продажи!$B$2:$B$1002, $A43, Продажи!$E$2:$E$1002, "&lt;=" &amp; AD$2, Продажи!$F$2:$F$1002, "&gt;" &amp; AD$2)</f>
        <v>0</v>
      </c>
      <c r="AE43" s="67">
        <f t="shared" si="0"/>
        <v>0</v>
      </c>
      <c r="AF43" s="64" t="str">
        <f ca="1">IF(SUM(OFFSET($B43,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3" s="98">
        <f>VLOOKUP(A43,ID_купе[],2,0)</f>
        <v>7</v>
      </c>
      <c r="AH43" s="132" t="str">
        <f t="shared" ca="1" si="1"/>
        <v>Целое купе/отсек</v>
      </c>
    </row>
    <row r="44" spans="1:34" x14ac:dyDescent="0.25">
      <c r="A44" s="68">
        <v>42</v>
      </c>
      <c r="B44" s="67">
        <f>COUNTIFS(Продажи!$B$2:$B$1002, $A44, Продажи!$E$2:$E$1002, "&lt;=" &amp; B$2, Продажи!$F$2:$F$1002, "&gt;" &amp; B$2)</f>
        <v>0</v>
      </c>
      <c r="C44" s="67">
        <f>COUNTIFS(Продажи!$B$2:$B$1002, $A44, Продажи!$E$2:$E$1002, "&lt;=" &amp; C$2, Продажи!$F$2:$F$1002, "&gt;" &amp; C$2)</f>
        <v>0</v>
      </c>
      <c r="D44" s="67">
        <f>COUNTIFS(Продажи!$B$2:$B$1002, $A44, Продажи!$E$2:$E$1002, "&lt;=" &amp; D$2, Продажи!$F$2:$F$1002, "&gt;" &amp; D$2)</f>
        <v>0</v>
      </c>
      <c r="E44" s="67">
        <f>COUNTIFS(Продажи!$B$2:$B$1002, $A44, Продажи!$E$2:$E$1002, "&lt;=" &amp; E$2, Продажи!$F$2:$F$1002, "&gt;" &amp; E$2)</f>
        <v>0</v>
      </c>
      <c r="F44" s="67">
        <f>COUNTIFS(Продажи!$B$2:$B$1002, $A44, Продажи!$E$2:$E$1002, "&lt;=" &amp; F$2, Продажи!$F$2:$F$1002, "&gt;" &amp; F$2)</f>
        <v>0</v>
      </c>
      <c r="G44" s="67">
        <f>COUNTIFS(Продажи!$B$2:$B$1002, $A44, Продажи!$E$2:$E$1002, "&lt;=" &amp; G$2, Продажи!$F$2:$F$1002, "&gt;" &amp; G$2)</f>
        <v>0</v>
      </c>
      <c r="H44" s="67">
        <f>COUNTIFS(Продажи!$B$2:$B$1002, $A44, Продажи!$E$2:$E$1002, "&lt;=" &amp; H$2, Продажи!$F$2:$F$1002, "&gt;" &amp; H$2)</f>
        <v>0</v>
      </c>
      <c r="I44" s="67">
        <f>COUNTIFS(Продажи!$B$2:$B$1002, $A44, Продажи!$E$2:$E$1002, "&lt;=" &amp; I$2, Продажи!$F$2:$F$1002, "&gt;" &amp; I$2)</f>
        <v>0</v>
      </c>
      <c r="J44" s="67">
        <f>COUNTIFS(Продажи!$B$2:$B$1002, $A44, Продажи!$E$2:$E$1002, "&lt;=" &amp; J$2, Продажи!$F$2:$F$1002, "&gt;" &amp; J$2)</f>
        <v>0</v>
      </c>
      <c r="K44" s="67">
        <f>COUNTIFS(Продажи!$B$2:$B$1002, $A44, Продажи!$E$2:$E$1002, "&lt;=" &amp; K$2, Продажи!$F$2:$F$1002, "&gt;" &amp; K$2)</f>
        <v>0</v>
      </c>
      <c r="L44" s="67">
        <f>COUNTIFS(Продажи!$B$2:$B$1002, $A44, Продажи!$E$2:$E$1002, "&lt;=" &amp; L$2, Продажи!$F$2:$F$1002, "&gt;" &amp; L$2)</f>
        <v>0</v>
      </c>
      <c r="M44" s="67">
        <f>COUNTIFS(Продажи!$B$2:$B$1002, $A44, Продажи!$E$2:$E$1002, "&lt;=" &amp; M$2, Продажи!$F$2:$F$1002, "&gt;" &amp; M$2)</f>
        <v>0</v>
      </c>
      <c r="N44" s="67">
        <f>COUNTIFS(Продажи!$B$2:$B$1002, $A44, Продажи!$E$2:$E$1002, "&lt;=" &amp; N$2, Продажи!$F$2:$F$1002, "&gt;" &amp; N$2)</f>
        <v>0</v>
      </c>
      <c r="O44" s="67">
        <f>COUNTIFS(Продажи!$B$2:$B$1002, $A44, Продажи!$E$2:$E$1002, "&lt;=" &amp; O$2, Продажи!$F$2:$F$1002, "&gt;" &amp; O$2)</f>
        <v>0</v>
      </c>
      <c r="P44" s="67">
        <f>COUNTIFS(Продажи!$B$2:$B$1002, $A44, Продажи!$E$2:$E$1002, "&lt;=" &amp; P$2, Продажи!$F$2:$F$1002, "&gt;" &amp; P$2)</f>
        <v>0</v>
      </c>
      <c r="Q44" s="67">
        <f>COUNTIFS(Продажи!$B$2:$B$1002, $A44, Продажи!$E$2:$E$1002, "&lt;=" &amp; Q$2, Продажи!$F$2:$F$1002, "&gt;" &amp; Q$2)</f>
        <v>0</v>
      </c>
      <c r="R44" s="67">
        <f>COUNTIFS(Продажи!$B$2:$B$1002, $A44, Продажи!$E$2:$E$1002, "&lt;=" &amp; R$2, Продажи!$F$2:$F$1002, "&gt;" &amp; R$2)</f>
        <v>0</v>
      </c>
      <c r="S44" s="67">
        <f>COUNTIFS(Продажи!$B$2:$B$1002, $A44, Продажи!$E$2:$E$1002, "&lt;=" &amp; S$2, Продажи!$F$2:$F$1002, "&gt;" &amp; S$2)</f>
        <v>0</v>
      </c>
      <c r="T44" s="67">
        <f>COUNTIFS(Продажи!$B$2:$B$1002, $A44, Продажи!$E$2:$E$1002, "&lt;=" &amp; T$2, Продажи!$F$2:$F$1002, "&gt;" &amp; T$2)</f>
        <v>0</v>
      </c>
      <c r="U44" s="67">
        <f>COUNTIFS(Продажи!$B$2:$B$1002, $A44, Продажи!$E$2:$E$1002, "&lt;=" &amp; U$2, Продажи!$F$2:$F$1002, "&gt;" &amp; U$2)</f>
        <v>0</v>
      </c>
      <c r="V44" s="67">
        <f>COUNTIFS(Продажи!$B$2:$B$1002, $A44, Продажи!$E$2:$E$1002, "&lt;=" &amp; V$2, Продажи!$F$2:$F$1002, "&gt;" &amp; V$2)</f>
        <v>0</v>
      </c>
      <c r="W44" s="67">
        <f>COUNTIFS(Продажи!$B$2:$B$1002, $A44, Продажи!$E$2:$E$1002, "&lt;=" &amp; W$2, Продажи!$F$2:$F$1002, "&gt;" &amp; W$2)</f>
        <v>0</v>
      </c>
      <c r="X44" s="67">
        <f>COUNTIFS(Продажи!$B$2:$B$1002, $A44, Продажи!$E$2:$E$1002, "&lt;=" &amp; X$2, Продажи!$F$2:$F$1002, "&gt;" &amp; X$2)</f>
        <v>0</v>
      </c>
      <c r="Y44" s="67">
        <f>COUNTIFS(Продажи!$B$2:$B$1002, $A44, Продажи!$E$2:$E$1002, "&lt;=" &amp; Y$2, Продажи!$F$2:$F$1002, "&gt;" &amp; Y$2)</f>
        <v>0</v>
      </c>
      <c r="Z44" s="67">
        <f>COUNTIFS(Продажи!$B$2:$B$1002, $A44, Продажи!$E$2:$E$1002, "&lt;=" &amp; Z$2, Продажи!$F$2:$F$1002, "&gt;" &amp; Z$2)</f>
        <v>0</v>
      </c>
      <c r="AA44" s="67">
        <f>COUNTIFS(Продажи!$B$2:$B$1002, $A44, Продажи!$E$2:$E$1002, "&lt;=" &amp; AA$2, Продажи!$F$2:$F$1002, "&gt;" &amp; AA$2)</f>
        <v>0</v>
      </c>
      <c r="AB44" s="67">
        <f>COUNTIFS(Продажи!$B$2:$B$1002, $A44, Продажи!$E$2:$E$1002, "&lt;=" &amp; AB$2, Продажи!$F$2:$F$1002, "&gt;" &amp; AB$2)</f>
        <v>0</v>
      </c>
      <c r="AC44" s="67">
        <f>COUNTIFS(Продажи!$B$2:$B$1002, $A44, Продажи!$E$2:$E$1002, "&lt;=" &amp; AC$2, Продажи!$F$2:$F$1002, "&gt;" &amp; AC$2)</f>
        <v>0</v>
      </c>
      <c r="AD44" s="67">
        <f>COUNTIFS(Продажи!$B$2:$B$1002, $A44, Продажи!$E$2:$E$1002, "&lt;=" &amp; AD$2, Продажи!$F$2:$F$1002, "&gt;" &amp; AD$2)</f>
        <v>0</v>
      </c>
      <c r="AE44" s="67">
        <f t="shared" si="0"/>
        <v>0</v>
      </c>
      <c r="AF44" s="64" t="str">
        <f ca="1">IF(SUM(OFFSET($B44,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4" s="98">
        <f>VLOOKUP(A44,ID_купе[],2,0)</f>
        <v>7</v>
      </c>
      <c r="AH44" s="132" t="str">
        <f t="shared" ca="1" si="1"/>
        <v>Целое купе/отсек</v>
      </c>
    </row>
    <row r="45" spans="1:34" x14ac:dyDescent="0.25">
      <c r="A45" s="68">
        <v>43</v>
      </c>
      <c r="B45" s="67">
        <f>COUNTIFS(Продажи!$B$2:$B$1002, $A45, Продажи!$E$2:$E$1002, "&lt;=" &amp; B$2, Продажи!$F$2:$F$1002, "&gt;" &amp; B$2)</f>
        <v>0</v>
      </c>
      <c r="C45" s="67">
        <f>COUNTIFS(Продажи!$B$2:$B$1002, $A45, Продажи!$E$2:$E$1002, "&lt;=" &amp; C$2, Продажи!$F$2:$F$1002, "&gt;" &amp; C$2)</f>
        <v>0</v>
      </c>
      <c r="D45" s="67">
        <f>COUNTIFS(Продажи!$B$2:$B$1002, $A45, Продажи!$E$2:$E$1002, "&lt;=" &amp; D$2, Продажи!$F$2:$F$1002, "&gt;" &amp; D$2)</f>
        <v>0</v>
      </c>
      <c r="E45" s="67">
        <f>COUNTIFS(Продажи!$B$2:$B$1002, $A45, Продажи!$E$2:$E$1002, "&lt;=" &amp; E$2, Продажи!$F$2:$F$1002, "&gt;" &amp; E$2)</f>
        <v>0</v>
      </c>
      <c r="F45" s="67">
        <f>COUNTIFS(Продажи!$B$2:$B$1002, $A45, Продажи!$E$2:$E$1002, "&lt;=" &amp; F$2, Продажи!$F$2:$F$1002, "&gt;" &amp; F$2)</f>
        <v>0</v>
      </c>
      <c r="G45" s="67">
        <f>COUNTIFS(Продажи!$B$2:$B$1002, $A45, Продажи!$E$2:$E$1002, "&lt;=" &amp; G$2, Продажи!$F$2:$F$1002, "&gt;" &amp; G$2)</f>
        <v>0</v>
      </c>
      <c r="H45" s="67">
        <f>COUNTIFS(Продажи!$B$2:$B$1002, $A45, Продажи!$E$2:$E$1002, "&lt;=" &amp; H$2, Продажи!$F$2:$F$1002, "&gt;" &amp; H$2)</f>
        <v>0</v>
      </c>
      <c r="I45" s="67">
        <f>COUNTIFS(Продажи!$B$2:$B$1002, $A45, Продажи!$E$2:$E$1002, "&lt;=" &amp; I$2, Продажи!$F$2:$F$1002, "&gt;" &amp; I$2)</f>
        <v>0</v>
      </c>
      <c r="J45" s="67">
        <f>COUNTIFS(Продажи!$B$2:$B$1002, $A45, Продажи!$E$2:$E$1002, "&lt;=" &amp; J$2, Продажи!$F$2:$F$1002, "&gt;" &amp; J$2)</f>
        <v>0</v>
      </c>
      <c r="K45" s="67">
        <f>COUNTIFS(Продажи!$B$2:$B$1002, $A45, Продажи!$E$2:$E$1002, "&lt;=" &amp; K$2, Продажи!$F$2:$F$1002, "&gt;" &amp; K$2)</f>
        <v>0</v>
      </c>
      <c r="L45" s="67">
        <f>COUNTIFS(Продажи!$B$2:$B$1002, $A45, Продажи!$E$2:$E$1002, "&lt;=" &amp; L$2, Продажи!$F$2:$F$1002, "&gt;" &amp; L$2)</f>
        <v>0</v>
      </c>
      <c r="M45" s="67">
        <f>COUNTIFS(Продажи!$B$2:$B$1002, $A45, Продажи!$E$2:$E$1002, "&lt;=" &amp; M$2, Продажи!$F$2:$F$1002, "&gt;" &amp; M$2)</f>
        <v>0</v>
      </c>
      <c r="N45" s="67">
        <f>COUNTIFS(Продажи!$B$2:$B$1002, $A45, Продажи!$E$2:$E$1002, "&lt;=" &amp; N$2, Продажи!$F$2:$F$1002, "&gt;" &amp; N$2)</f>
        <v>0</v>
      </c>
      <c r="O45" s="67">
        <f>COUNTIFS(Продажи!$B$2:$B$1002, $A45, Продажи!$E$2:$E$1002, "&lt;=" &amp; O$2, Продажи!$F$2:$F$1002, "&gt;" &amp; O$2)</f>
        <v>0</v>
      </c>
      <c r="P45" s="67">
        <f>COUNTIFS(Продажи!$B$2:$B$1002, $A45, Продажи!$E$2:$E$1002, "&lt;=" &amp; P$2, Продажи!$F$2:$F$1002, "&gt;" &amp; P$2)</f>
        <v>0</v>
      </c>
      <c r="Q45" s="67">
        <f>COUNTIFS(Продажи!$B$2:$B$1002, $A45, Продажи!$E$2:$E$1002, "&lt;=" &amp; Q$2, Продажи!$F$2:$F$1002, "&gt;" &amp; Q$2)</f>
        <v>0</v>
      </c>
      <c r="R45" s="67">
        <f>COUNTIFS(Продажи!$B$2:$B$1002, $A45, Продажи!$E$2:$E$1002, "&lt;=" &amp; R$2, Продажи!$F$2:$F$1002, "&gt;" &amp; R$2)</f>
        <v>0</v>
      </c>
      <c r="S45" s="67">
        <f>COUNTIFS(Продажи!$B$2:$B$1002, $A45, Продажи!$E$2:$E$1002, "&lt;=" &amp; S$2, Продажи!$F$2:$F$1002, "&gt;" &amp; S$2)</f>
        <v>0</v>
      </c>
      <c r="T45" s="67">
        <f>COUNTIFS(Продажи!$B$2:$B$1002, $A45, Продажи!$E$2:$E$1002, "&lt;=" &amp; T$2, Продажи!$F$2:$F$1002, "&gt;" &amp; T$2)</f>
        <v>0</v>
      </c>
      <c r="U45" s="67">
        <f>COUNTIFS(Продажи!$B$2:$B$1002, $A45, Продажи!$E$2:$E$1002, "&lt;=" &amp; U$2, Продажи!$F$2:$F$1002, "&gt;" &amp; U$2)</f>
        <v>0</v>
      </c>
      <c r="V45" s="67">
        <f>COUNTIFS(Продажи!$B$2:$B$1002, $A45, Продажи!$E$2:$E$1002, "&lt;=" &amp; V$2, Продажи!$F$2:$F$1002, "&gt;" &amp; V$2)</f>
        <v>0</v>
      </c>
      <c r="W45" s="67">
        <f>COUNTIFS(Продажи!$B$2:$B$1002, $A45, Продажи!$E$2:$E$1002, "&lt;=" &amp; W$2, Продажи!$F$2:$F$1002, "&gt;" &amp; W$2)</f>
        <v>0</v>
      </c>
      <c r="X45" s="67">
        <f>COUNTIFS(Продажи!$B$2:$B$1002, $A45, Продажи!$E$2:$E$1002, "&lt;=" &amp; X$2, Продажи!$F$2:$F$1002, "&gt;" &amp; X$2)</f>
        <v>0</v>
      </c>
      <c r="Y45" s="67">
        <f>COUNTIFS(Продажи!$B$2:$B$1002, $A45, Продажи!$E$2:$E$1002, "&lt;=" &amp; Y$2, Продажи!$F$2:$F$1002, "&gt;" &amp; Y$2)</f>
        <v>0</v>
      </c>
      <c r="Z45" s="67">
        <f>COUNTIFS(Продажи!$B$2:$B$1002, $A45, Продажи!$E$2:$E$1002, "&lt;=" &amp; Z$2, Продажи!$F$2:$F$1002, "&gt;" &amp; Z$2)</f>
        <v>0</v>
      </c>
      <c r="AA45" s="67">
        <f>COUNTIFS(Продажи!$B$2:$B$1002, $A45, Продажи!$E$2:$E$1002, "&lt;=" &amp; AA$2, Продажи!$F$2:$F$1002, "&gt;" &amp; AA$2)</f>
        <v>0</v>
      </c>
      <c r="AB45" s="67">
        <f>COUNTIFS(Продажи!$B$2:$B$1002, $A45, Продажи!$E$2:$E$1002, "&lt;=" &amp; AB$2, Продажи!$F$2:$F$1002, "&gt;" &amp; AB$2)</f>
        <v>0</v>
      </c>
      <c r="AC45" s="67">
        <f>COUNTIFS(Продажи!$B$2:$B$1002, $A45, Продажи!$E$2:$E$1002, "&lt;=" &amp; AC$2, Продажи!$F$2:$F$1002, "&gt;" &amp; AC$2)</f>
        <v>0</v>
      </c>
      <c r="AD45" s="67">
        <f>COUNTIFS(Продажи!$B$2:$B$1002, $A45, Продажи!$E$2:$E$1002, "&lt;=" &amp; AD$2, Продажи!$F$2:$F$1002, "&gt;" &amp; AD$2)</f>
        <v>0</v>
      </c>
      <c r="AE45" s="67">
        <f t="shared" si="0"/>
        <v>0</v>
      </c>
      <c r="AF45" s="64" t="str">
        <f ca="1">IF(SUM(OFFSET($B45,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5" s="98">
        <f>VLOOKUP(A45,ID_купе[],2,0)</f>
        <v>6</v>
      </c>
      <c r="AH45" s="132" t="str">
        <f t="shared" ca="1" si="1"/>
        <v>Целое купе/отсек</v>
      </c>
    </row>
    <row r="46" spans="1:34" x14ac:dyDescent="0.25">
      <c r="A46" s="68">
        <v>44</v>
      </c>
      <c r="B46" s="67">
        <f>COUNTIFS(Продажи!$B$2:$B$1002, $A46, Продажи!$E$2:$E$1002, "&lt;=" &amp; B$2, Продажи!$F$2:$F$1002, "&gt;" &amp; B$2)</f>
        <v>0</v>
      </c>
      <c r="C46" s="67">
        <f>COUNTIFS(Продажи!$B$2:$B$1002, $A46, Продажи!$E$2:$E$1002, "&lt;=" &amp; C$2, Продажи!$F$2:$F$1002, "&gt;" &amp; C$2)</f>
        <v>0</v>
      </c>
      <c r="D46" s="67">
        <f>COUNTIFS(Продажи!$B$2:$B$1002, $A46, Продажи!$E$2:$E$1002, "&lt;=" &amp; D$2, Продажи!$F$2:$F$1002, "&gt;" &amp; D$2)</f>
        <v>0</v>
      </c>
      <c r="E46" s="67">
        <f>COUNTIFS(Продажи!$B$2:$B$1002, $A46, Продажи!$E$2:$E$1002, "&lt;=" &amp; E$2, Продажи!$F$2:$F$1002, "&gt;" &amp; E$2)</f>
        <v>0</v>
      </c>
      <c r="F46" s="67">
        <f>COUNTIFS(Продажи!$B$2:$B$1002, $A46, Продажи!$E$2:$E$1002, "&lt;=" &amp; F$2, Продажи!$F$2:$F$1002, "&gt;" &amp; F$2)</f>
        <v>0</v>
      </c>
      <c r="G46" s="67">
        <f>COUNTIFS(Продажи!$B$2:$B$1002, $A46, Продажи!$E$2:$E$1002, "&lt;=" &amp; G$2, Продажи!$F$2:$F$1002, "&gt;" &amp; G$2)</f>
        <v>0</v>
      </c>
      <c r="H46" s="67">
        <f>COUNTIFS(Продажи!$B$2:$B$1002, $A46, Продажи!$E$2:$E$1002, "&lt;=" &amp; H$2, Продажи!$F$2:$F$1002, "&gt;" &amp; H$2)</f>
        <v>0</v>
      </c>
      <c r="I46" s="67">
        <f>COUNTIFS(Продажи!$B$2:$B$1002, $A46, Продажи!$E$2:$E$1002, "&lt;=" &amp; I$2, Продажи!$F$2:$F$1002, "&gt;" &amp; I$2)</f>
        <v>0</v>
      </c>
      <c r="J46" s="67">
        <f>COUNTIFS(Продажи!$B$2:$B$1002, $A46, Продажи!$E$2:$E$1002, "&lt;=" &amp; J$2, Продажи!$F$2:$F$1002, "&gt;" &amp; J$2)</f>
        <v>0</v>
      </c>
      <c r="K46" s="67">
        <f>COUNTIFS(Продажи!$B$2:$B$1002, $A46, Продажи!$E$2:$E$1002, "&lt;=" &amp; K$2, Продажи!$F$2:$F$1002, "&gt;" &amp; K$2)</f>
        <v>0</v>
      </c>
      <c r="L46" s="67">
        <f>COUNTIFS(Продажи!$B$2:$B$1002, $A46, Продажи!$E$2:$E$1002, "&lt;=" &amp; L$2, Продажи!$F$2:$F$1002, "&gt;" &amp; L$2)</f>
        <v>0</v>
      </c>
      <c r="M46" s="67">
        <f>COUNTIFS(Продажи!$B$2:$B$1002, $A46, Продажи!$E$2:$E$1002, "&lt;=" &amp; M$2, Продажи!$F$2:$F$1002, "&gt;" &amp; M$2)</f>
        <v>0</v>
      </c>
      <c r="N46" s="67">
        <f>COUNTIFS(Продажи!$B$2:$B$1002, $A46, Продажи!$E$2:$E$1002, "&lt;=" &amp; N$2, Продажи!$F$2:$F$1002, "&gt;" &amp; N$2)</f>
        <v>0</v>
      </c>
      <c r="O46" s="67">
        <f>COUNTIFS(Продажи!$B$2:$B$1002, $A46, Продажи!$E$2:$E$1002, "&lt;=" &amp; O$2, Продажи!$F$2:$F$1002, "&gt;" &amp; O$2)</f>
        <v>0</v>
      </c>
      <c r="P46" s="67">
        <f>COUNTIFS(Продажи!$B$2:$B$1002, $A46, Продажи!$E$2:$E$1002, "&lt;=" &amp; P$2, Продажи!$F$2:$F$1002, "&gt;" &amp; P$2)</f>
        <v>0</v>
      </c>
      <c r="Q46" s="67">
        <f>COUNTIFS(Продажи!$B$2:$B$1002, $A46, Продажи!$E$2:$E$1002, "&lt;=" &amp; Q$2, Продажи!$F$2:$F$1002, "&gt;" &amp; Q$2)</f>
        <v>0</v>
      </c>
      <c r="R46" s="67">
        <f>COUNTIFS(Продажи!$B$2:$B$1002, $A46, Продажи!$E$2:$E$1002, "&lt;=" &amp; R$2, Продажи!$F$2:$F$1002, "&gt;" &amp; R$2)</f>
        <v>0</v>
      </c>
      <c r="S46" s="67">
        <f>COUNTIFS(Продажи!$B$2:$B$1002, $A46, Продажи!$E$2:$E$1002, "&lt;=" &amp; S$2, Продажи!$F$2:$F$1002, "&gt;" &amp; S$2)</f>
        <v>0</v>
      </c>
      <c r="T46" s="67">
        <f>COUNTIFS(Продажи!$B$2:$B$1002, $A46, Продажи!$E$2:$E$1002, "&lt;=" &amp; T$2, Продажи!$F$2:$F$1002, "&gt;" &amp; T$2)</f>
        <v>0</v>
      </c>
      <c r="U46" s="67">
        <f>COUNTIFS(Продажи!$B$2:$B$1002, $A46, Продажи!$E$2:$E$1002, "&lt;=" &amp; U$2, Продажи!$F$2:$F$1002, "&gt;" &amp; U$2)</f>
        <v>0</v>
      </c>
      <c r="V46" s="67">
        <f>COUNTIFS(Продажи!$B$2:$B$1002, $A46, Продажи!$E$2:$E$1002, "&lt;=" &amp; V$2, Продажи!$F$2:$F$1002, "&gt;" &amp; V$2)</f>
        <v>0</v>
      </c>
      <c r="W46" s="67">
        <f>COUNTIFS(Продажи!$B$2:$B$1002, $A46, Продажи!$E$2:$E$1002, "&lt;=" &amp; W$2, Продажи!$F$2:$F$1002, "&gt;" &amp; W$2)</f>
        <v>0</v>
      </c>
      <c r="X46" s="67">
        <f>COUNTIFS(Продажи!$B$2:$B$1002, $A46, Продажи!$E$2:$E$1002, "&lt;=" &amp; X$2, Продажи!$F$2:$F$1002, "&gt;" &amp; X$2)</f>
        <v>0</v>
      </c>
      <c r="Y46" s="67">
        <f>COUNTIFS(Продажи!$B$2:$B$1002, $A46, Продажи!$E$2:$E$1002, "&lt;=" &amp; Y$2, Продажи!$F$2:$F$1002, "&gt;" &amp; Y$2)</f>
        <v>0</v>
      </c>
      <c r="Z46" s="67">
        <f>COUNTIFS(Продажи!$B$2:$B$1002, $A46, Продажи!$E$2:$E$1002, "&lt;=" &amp; Z$2, Продажи!$F$2:$F$1002, "&gt;" &amp; Z$2)</f>
        <v>0</v>
      </c>
      <c r="AA46" s="67">
        <f>COUNTIFS(Продажи!$B$2:$B$1002, $A46, Продажи!$E$2:$E$1002, "&lt;=" &amp; AA$2, Продажи!$F$2:$F$1002, "&gt;" &amp; AA$2)</f>
        <v>0</v>
      </c>
      <c r="AB46" s="67">
        <f>COUNTIFS(Продажи!$B$2:$B$1002, $A46, Продажи!$E$2:$E$1002, "&lt;=" &amp; AB$2, Продажи!$F$2:$F$1002, "&gt;" &amp; AB$2)</f>
        <v>0</v>
      </c>
      <c r="AC46" s="67">
        <f>COUNTIFS(Продажи!$B$2:$B$1002, $A46, Продажи!$E$2:$E$1002, "&lt;=" &amp; AC$2, Продажи!$F$2:$F$1002, "&gt;" &amp; AC$2)</f>
        <v>0</v>
      </c>
      <c r="AD46" s="67">
        <f>COUNTIFS(Продажи!$B$2:$B$1002, $A46, Продажи!$E$2:$E$1002, "&lt;=" &amp; AD$2, Продажи!$F$2:$F$1002, "&gt;" &amp; AD$2)</f>
        <v>0</v>
      </c>
      <c r="AE46" s="67">
        <f t="shared" si="0"/>
        <v>0</v>
      </c>
      <c r="AF46" s="64" t="str">
        <f ca="1">IF(SUM(OFFSET($B46,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6" s="98">
        <f>VLOOKUP(A46,ID_купе[],2,0)</f>
        <v>6</v>
      </c>
      <c r="AH46" s="132" t="str">
        <f t="shared" ca="1" si="1"/>
        <v>Целое купе/отсек</v>
      </c>
    </row>
    <row r="47" spans="1:34" x14ac:dyDescent="0.25">
      <c r="A47" s="68">
        <v>45</v>
      </c>
      <c r="B47" s="67">
        <f>COUNTIFS(Продажи!$B$2:$B$1002, $A47, Продажи!$E$2:$E$1002, "&lt;=" &amp; B$2, Продажи!$F$2:$F$1002, "&gt;" &amp; B$2)</f>
        <v>0</v>
      </c>
      <c r="C47" s="67">
        <f>COUNTIFS(Продажи!$B$2:$B$1002, $A47, Продажи!$E$2:$E$1002, "&lt;=" &amp; C$2, Продажи!$F$2:$F$1002, "&gt;" &amp; C$2)</f>
        <v>0</v>
      </c>
      <c r="D47" s="67">
        <f>COUNTIFS(Продажи!$B$2:$B$1002, $A47, Продажи!$E$2:$E$1002, "&lt;=" &amp; D$2, Продажи!$F$2:$F$1002, "&gt;" &amp; D$2)</f>
        <v>0</v>
      </c>
      <c r="E47" s="67">
        <f>COUNTIFS(Продажи!$B$2:$B$1002, $A47, Продажи!$E$2:$E$1002, "&lt;=" &amp; E$2, Продажи!$F$2:$F$1002, "&gt;" &amp; E$2)</f>
        <v>0</v>
      </c>
      <c r="F47" s="67">
        <f>COUNTIFS(Продажи!$B$2:$B$1002, $A47, Продажи!$E$2:$E$1002, "&lt;=" &amp; F$2, Продажи!$F$2:$F$1002, "&gt;" &amp; F$2)</f>
        <v>0</v>
      </c>
      <c r="G47" s="67">
        <f>COUNTIFS(Продажи!$B$2:$B$1002, $A47, Продажи!$E$2:$E$1002, "&lt;=" &amp; G$2, Продажи!$F$2:$F$1002, "&gt;" &amp; G$2)</f>
        <v>0</v>
      </c>
      <c r="H47" s="67">
        <f>COUNTIFS(Продажи!$B$2:$B$1002, $A47, Продажи!$E$2:$E$1002, "&lt;=" &amp; H$2, Продажи!$F$2:$F$1002, "&gt;" &amp; H$2)</f>
        <v>0</v>
      </c>
      <c r="I47" s="67">
        <f>COUNTIFS(Продажи!$B$2:$B$1002, $A47, Продажи!$E$2:$E$1002, "&lt;=" &amp; I$2, Продажи!$F$2:$F$1002, "&gt;" &amp; I$2)</f>
        <v>0</v>
      </c>
      <c r="J47" s="67">
        <f>COUNTIFS(Продажи!$B$2:$B$1002, $A47, Продажи!$E$2:$E$1002, "&lt;=" &amp; J$2, Продажи!$F$2:$F$1002, "&gt;" &amp; J$2)</f>
        <v>0</v>
      </c>
      <c r="K47" s="67">
        <f>COUNTIFS(Продажи!$B$2:$B$1002, $A47, Продажи!$E$2:$E$1002, "&lt;=" &amp; K$2, Продажи!$F$2:$F$1002, "&gt;" &amp; K$2)</f>
        <v>0</v>
      </c>
      <c r="L47" s="67">
        <f>COUNTIFS(Продажи!$B$2:$B$1002, $A47, Продажи!$E$2:$E$1002, "&lt;=" &amp; L$2, Продажи!$F$2:$F$1002, "&gt;" &amp; L$2)</f>
        <v>0</v>
      </c>
      <c r="M47" s="67">
        <f>COUNTIFS(Продажи!$B$2:$B$1002, $A47, Продажи!$E$2:$E$1002, "&lt;=" &amp; M$2, Продажи!$F$2:$F$1002, "&gt;" &amp; M$2)</f>
        <v>0</v>
      </c>
      <c r="N47" s="67">
        <f>COUNTIFS(Продажи!$B$2:$B$1002, $A47, Продажи!$E$2:$E$1002, "&lt;=" &amp; N$2, Продажи!$F$2:$F$1002, "&gt;" &amp; N$2)</f>
        <v>0</v>
      </c>
      <c r="O47" s="67">
        <f>COUNTIFS(Продажи!$B$2:$B$1002, $A47, Продажи!$E$2:$E$1002, "&lt;=" &amp; O$2, Продажи!$F$2:$F$1002, "&gt;" &amp; O$2)</f>
        <v>0</v>
      </c>
      <c r="P47" s="67">
        <f>COUNTIFS(Продажи!$B$2:$B$1002, $A47, Продажи!$E$2:$E$1002, "&lt;=" &amp; P$2, Продажи!$F$2:$F$1002, "&gt;" &amp; P$2)</f>
        <v>0</v>
      </c>
      <c r="Q47" s="67">
        <f>COUNTIFS(Продажи!$B$2:$B$1002, $A47, Продажи!$E$2:$E$1002, "&lt;=" &amp; Q$2, Продажи!$F$2:$F$1002, "&gt;" &amp; Q$2)</f>
        <v>0</v>
      </c>
      <c r="R47" s="67">
        <f>COUNTIFS(Продажи!$B$2:$B$1002, $A47, Продажи!$E$2:$E$1002, "&lt;=" &amp; R$2, Продажи!$F$2:$F$1002, "&gt;" &amp; R$2)</f>
        <v>0</v>
      </c>
      <c r="S47" s="67">
        <f>COUNTIFS(Продажи!$B$2:$B$1002, $A47, Продажи!$E$2:$E$1002, "&lt;=" &amp; S$2, Продажи!$F$2:$F$1002, "&gt;" &amp; S$2)</f>
        <v>0</v>
      </c>
      <c r="T47" s="67">
        <f>COUNTIFS(Продажи!$B$2:$B$1002, $A47, Продажи!$E$2:$E$1002, "&lt;=" &amp; T$2, Продажи!$F$2:$F$1002, "&gt;" &amp; T$2)</f>
        <v>0</v>
      </c>
      <c r="U47" s="67">
        <f>COUNTIFS(Продажи!$B$2:$B$1002, $A47, Продажи!$E$2:$E$1002, "&lt;=" &amp; U$2, Продажи!$F$2:$F$1002, "&gt;" &amp; U$2)</f>
        <v>0</v>
      </c>
      <c r="V47" s="67">
        <f>COUNTIFS(Продажи!$B$2:$B$1002, $A47, Продажи!$E$2:$E$1002, "&lt;=" &amp; V$2, Продажи!$F$2:$F$1002, "&gt;" &amp; V$2)</f>
        <v>0</v>
      </c>
      <c r="W47" s="67">
        <f>COUNTIFS(Продажи!$B$2:$B$1002, $A47, Продажи!$E$2:$E$1002, "&lt;=" &amp; W$2, Продажи!$F$2:$F$1002, "&gt;" &amp; W$2)</f>
        <v>0</v>
      </c>
      <c r="X47" s="67">
        <f>COUNTIFS(Продажи!$B$2:$B$1002, $A47, Продажи!$E$2:$E$1002, "&lt;=" &amp; X$2, Продажи!$F$2:$F$1002, "&gt;" &amp; X$2)</f>
        <v>0</v>
      </c>
      <c r="Y47" s="67">
        <f>COUNTIFS(Продажи!$B$2:$B$1002, $A47, Продажи!$E$2:$E$1002, "&lt;=" &amp; Y$2, Продажи!$F$2:$F$1002, "&gt;" &amp; Y$2)</f>
        <v>0</v>
      </c>
      <c r="Z47" s="67">
        <f>COUNTIFS(Продажи!$B$2:$B$1002, $A47, Продажи!$E$2:$E$1002, "&lt;=" &amp; Z$2, Продажи!$F$2:$F$1002, "&gt;" &amp; Z$2)</f>
        <v>0</v>
      </c>
      <c r="AA47" s="67">
        <f>COUNTIFS(Продажи!$B$2:$B$1002, $A47, Продажи!$E$2:$E$1002, "&lt;=" &amp; AA$2, Продажи!$F$2:$F$1002, "&gt;" &amp; AA$2)</f>
        <v>0</v>
      </c>
      <c r="AB47" s="67">
        <f>COUNTIFS(Продажи!$B$2:$B$1002, $A47, Продажи!$E$2:$E$1002, "&lt;=" &amp; AB$2, Продажи!$F$2:$F$1002, "&gt;" &amp; AB$2)</f>
        <v>0</v>
      </c>
      <c r="AC47" s="67">
        <f>COUNTIFS(Продажи!$B$2:$B$1002, $A47, Продажи!$E$2:$E$1002, "&lt;=" &amp; AC$2, Продажи!$F$2:$F$1002, "&gt;" &amp; AC$2)</f>
        <v>0</v>
      </c>
      <c r="AD47" s="67">
        <f>COUNTIFS(Продажи!$B$2:$B$1002, $A47, Продажи!$E$2:$E$1002, "&lt;=" &amp; AD$2, Продажи!$F$2:$F$1002, "&gt;" &amp; AD$2)</f>
        <v>0</v>
      </c>
      <c r="AE47" s="67">
        <f t="shared" si="0"/>
        <v>0</v>
      </c>
      <c r="AF47" s="64" t="str">
        <f ca="1">IF(SUM(OFFSET($B47,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7" s="98">
        <f>VLOOKUP(A47,ID_купе[],2,0)</f>
        <v>5</v>
      </c>
      <c r="AH47" s="132" t="str">
        <f t="shared" ca="1" si="1"/>
        <v>Частично</v>
      </c>
    </row>
    <row r="48" spans="1:34" x14ac:dyDescent="0.25">
      <c r="A48" s="68">
        <v>46</v>
      </c>
      <c r="B48" s="67">
        <f>COUNTIFS(Продажи!$B$2:$B$1002, $A48, Продажи!$E$2:$E$1002, "&lt;=" &amp; B$2, Продажи!$F$2:$F$1002, "&gt;" &amp; B$2)</f>
        <v>0</v>
      </c>
      <c r="C48" s="67">
        <f>COUNTIFS(Продажи!$B$2:$B$1002, $A48, Продажи!$E$2:$E$1002, "&lt;=" &amp; C$2, Продажи!$F$2:$F$1002, "&gt;" &amp; C$2)</f>
        <v>0</v>
      </c>
      <c r="D48" s="67">
        <f>COUNTIFS(Продажи!$B$2:$B$1002, $A48, Продажи!$E$2:$E$1002, "&lt;=" &amp; D$2, Продажи!$F$2:$F$1002, "&gt;" &amp; D$2)</f>
        <v>0</v>
      </c>
      <c r="E48" s="67">
        <f>COUNTIFS(Продажи!$B$2:$B$1002, $A48, Продажи!$E$2:$E$1002, "&lt;=" &amp; E$2, Продажи!$F$2:$F$1002, "&gt;" &amp; E$2)</f>
        <v>0</v>
      </c>
      <c r="F48" s="67">
        <f>COUNTIFS(Продажи!$B$2:$B$1002, $A48, Продажи!$E$2:$E$1002, "&lt;=" &amp; F$2, Продажи!$F$2:$F$1002, "&gt;" &amp; F$2)</f>
        <v>0</v>
      </c>
      <c r="G48" s="67">
        <f>COUNTIFS(Продажи!$B$2:$B$1002, $A48, Продажи!$E$2:$E$1002, "&lt;=" &amp; G$2, Продажи!$F$2:$F$1002, "&gt;" &amp; G$2)</f>
        <v>0</v>
      </c>
      <c r="H48" s="67">
        <f>COUNTIFS(Продажи!$B$2:$B$1002, $A48, Продажи!$E$2:$E$1002, "&lt;=" &amp; H$2, Продажи!$F$2:$F$1002, "&gt;" &amp; H$2)</f>
        <v>0</v>
      </c>
      <c r="I48" s="67">
        <f>COUNTIFS(Продажи!$B$2:$B$1002, $A48, Продажи!$E$2:$E$1002, "&lt;=" &amp; I$2, Продажи!$F$2:$F$1002, "&gt;" &amp; I$2)</f>
        <v>0</v>
      </c>
      <c r="J48" s="67">
        <f>COUNTIFS(Продажи!$B$2:$B$1002, $A48, Продажи!$E$2:$E$1002, "&lt;=" &amp; J$2, Продажи!$F$2:$F$1002, "&gt;" &amp; J$2)</f>
        <v>0</v>
      </c>
      <c r="K48" s="67">
        <f>COUNTIFS(Продажи!$B$2:$B$1002, $A48, Продажи!$E$2:$E$1002, "&lt;=" &amp; K$2, Продажи!$F$2:$F$1002, "&gt;" &amp; K$2)</f>
        <v>0</v>
      </c>
      <c r="L48" s="67">
        <f>COUNTIFS(Продажи!$B$2:$B$1002, $A48, Продажи!$E$2:$E$1002, "&lt;=" &amp; L$2, Продажи!$F$2:$F$1002, "&gt;" &amp; L$2)</f>
        <v>0</v>
      </c>
      <c r="M48" s="67">
        <f>COUNTIFS(Продажи!$B$2:$B$1002, $A48, Продажи!$E$2:$E$1002, "&lt;=" &amp; M$2, Продажи!$F$2:$F$1002, "&gt;" &amp; M$2)</f>
        <v>0</v>
      </c>
      <c r="N48" s="67">
        <f>COUNTIFS(Продажи!$B$2:$B$1002, $A48, Продажи!$E$2:$E$1002, "&lt;=" &amp; N$2, Продажи!$F$2:$F$1002, "&gt;" &amp; N$2)</f>
        <v>0</v>
      </c>
      <c r="O48" s="67">
        <f>COUNTIFS(Продажи!$B$2:$B$1002, $A48, Продажи!$E$2:$E$1002, "&lt;=" &amp; O$2, Продажи!$F$2:$F$1002, "&gt;" &amp; O$2)</f>
        <v>0</v>
      </c>
      <c r="P48" s="67">
        <f>COUNTIFS(Продажи!$B$2:$B$1002, $A48, Продажи!$E$2:$E$1002, "&lt;=" &amp; P$2, Продажи!$F$2:$F$1002, "&gt;" &amp; P$2)</f>
        <v>0</v>
      </c>
      <c r="Q48" s="67">
        <f>COUNTIFS(Продажи!$B$2:$B$1002, $A48, Продажи!$E$2:$E$1002, "&lt;=" &amp; Q$2, Продажи!$F$2:$F$1002, "&gt;" &amp; Q$2)</f>
        <v>0</v>
      </c>
      <c r="R48" s="67">
        <f>COUNTIFS(Продажи!$B$2:$B$1002, $A48, Продажи!$E$2:$E$1002, "&lt;=" &amp; R$2, Продажи!$F$2:$F$1002, "&gt;" &amp; R$2)</f>
        <v>0</v>
      </c>
      <c r="S48" s="67">
        <f>COUNTIFS(Продажи!$B$2:$B$1002, $A48, Продажи!$E$2:$E$1002, "&lt;=" &amp; S$2, Продажи!$F$2:$F$1002, "&gt;" &amp; S$2)</f>
        <v>0</v>
      </c>
      <c r="T48" s="67">
        <f>COUNTIFS(Продажи!$B$2:$B$1002, $A48, Продажи!$E$2:$E$1002, "&lt;=" &amp; T$2, Продажи!$F$2:$F$1002, "&gt;" &amp; T$2)</f>
        <v>0</v>
      </c>
      <c r="U48" s="67">
        <f>COUNTIFS(Продажи!$B$2:$B$1002, $A48, Продажи!$E$2:$E$1002, "&lt;=" &amp; U$2, Продажи!$F$2:$F$1002, "&gt;" &amp; U$2)</f>
        <v>0</v>
      </c>
      <c r="V48" s="67">
        <f>COUNTIFS(Продажи!$B$2:$B$1002, $A48, Продажи!$E$2:$E$1002, "&lt;=" &amp; V$2, Продажи!$F$2:$F$1002, "&gt;" &amp; V$2)</f>
        <v>0</v>
      </c>
      <c r="W48" s="67">
        <f>COUNTIFS(Продажи!$B$2:$B$1002, $A48, Продажи!$E$2:$E$1002, "&lt;=" &amp; W$2, Продажи!$F$2:$F$1002, "&gt;" &amp; W$2)</f>
        <v>0</v>
      </c>
      <c r="X48" s="67">
        <f>COUNTIFS(Продажи!$B$2:$B$1002, $A48, Продажи!$E$2:$E$1002, "&lt;=" &amp; X$2, Продажи!$F$2:$F$1002, "&gt;" &amp; X$2)</f>
        <v>0</v>
      </c>
      <c r="Y48" s="67">
        <f>COUNTIFS(Продажи!$B$2:$B$1002, $A48, Продажи!$E$2:$E$1002, "&lt;=" &amp; Y$2, Продажи!$F$2:$F$1002, "&gt;" &amp; Y$2)</f>
        <v>0</v>
      </c>
      <c r="Z48" s="67">
        <f>COUNTIFS(Продажи!$B$2:$B$1002, $A48, Продажи!$E$2:$E$1002, "&lt;=" &amp; Z$2, Продажи!$F$2:$F$1002, "&gt;" &amp; Z$2)</f>
        <v>0</v>
      </c>
      <c r="AA48" s="67">
        <f>COUNTIFS(Продажи!$B$2:$B$1002, $A48, Продажи!$E$2:$E$1002, "&lt;=" &amp; AA$2, Продажи!$F$2:$F$1002, "&gt;" &amp; AA$2)</f>
        <v>0</v>
      </c>
      <c r="AB48" s="67">
        <f>COUNTIFS(Продажи!$B$2:$B$1002, $A48, Продажи!$E$2:$E$1002, "&lt;=" &amp; AB$2, Продажи!$F$2:$F$1002, "&gt;" &amp; AB$2)</f>
        <v>0</v>
      </c>
      <c r="AC48" s="67">
        <f>COUNTIFS(Продажи!$B$2:$B$1002, $A48, Продажи!$E$2:$E$1002, "&lt;=" &amp; AC$2, Продажи!$F$2:$F$1002, "&gt;" &amp; AC$2)</f>
        <v>0</v>
      </c>
      <c r="AD48" s="67">
        <f>COUNTIFS(Продажи!$B$2:$B$1002, $A48, Продажи!$E$2:$E$1002, "&lt;=" &amp; AD$2, Продажи!$F$2:$F$1002, "&gt;" &amp; AD$2)</f>
        <v>0</v>
      </c>
      <c r="AE48" s="67">
        <f t="shared" si="0"/>
        <v>0</v>
      </c>
      <c r="AF48" s="64" t="str">
        <f ca="1">IF(SUM(OFFSET($B48,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8" s="98">
        <f>VLOOKUP(A48,ID_купе[],2,0)</f>
        <v>5</v>
      </c>
      <c r="AH48" s="132" t="str">
        <f t="shared" ca="1" si="1"/>
        <v>Частично</v>
      </c>
    </row>
    <row r="49" spans="1:34" x14ac:dyDescent="0.25">
      <c r="A49" s="68">
        <v>47</v>
      </c>
      <c r="B49" s="67">
        <f>COUNTIFS(Продажи!$B$2:$B$1002, $A49, Продажи!$E$2:$E$1002, "&lt;=" &amp; B$2, Продажи!$F$2:$F$1002, "&gt;" &amp; B$2)</f>
        <v>0</v>
      </c>
      <c r="C49" s="67">
        <f>COUNTIFS(Продажи!$B$2:$B$1002, $A49, Продажи!$E$2:$E$1002, "&lt;=" &amp; C$2, Продажи!$F$2:$F$1002, "&gt;" &amp; C$2)</f>
        <v>0</v>
      </c>
      <c r="D49" s="67">
        <f>COUNTIFS(Продажи!$B$2:$B$1002, $A49, Продажи!$E$2:$E$1002, "&lt;=" &amp; D$2, Продажи!$F$2:$F$1002, "&gt;" &amp; D$2)</f>
        <v>0</v>
      </c>
      <c r="E49" s="67">
        <f>COUNTIFS(Продажи!$B$2:$B$1002, $A49, Продажи!$E$2:$E$1002, "&lt;=" &amp; E$2, Продажи!$F$2:$F$1002, "&gt;" &amp; E$2)</f>
        <v>0</v>
      </c>
      <c r="F49" s="67">
        <f>COUNTIFS(Продажи!$B$2:$B$1002, $A49, Продажи!$E$2:$E$1002, "&lt;=" &amp; F$2, Продажи!$F$2:$F$1002, "&gt;" &amp; F$2)</f>
        <v>0</v>
      </c>
      <c r="G49" s="67">
        <f>COUNTIFS(Продажи!$B$2:$B$1002, $A49, Продажи!$E$2:$E$1002, "&lt;=" &amp; G$2, Продажи!$F$2:$F$1002, "&gt;" &amp; G$2)</f>
        <v>0</v>
      </c>
      <c r="H49" s="67">
        <f>COUNTIFS(Продажи!$B$2:$B$1002, $A49, Продажи!$E$2:$E$1002, "&lt;=" &amp; H$2, Продажи!$F$2:$F$1002, "&gt;" &amp; H$2)</f>
        <v>0</v>
      </c>
      <c r="I49" s="67">
        <f>COUNTIFS(Продажи!$B$2:$B$1002, $A49, Продажи!$E$2:$E$1002, "&lt;=" &amp; I$2, Продажи!$F$2:$F$1002, "&gt;" &amp; I$2)</f>
        <v>0</v>
      </c>
      <c r="J49" s="67">
        <f>COUNTIFS(Продажи!$B$2:$B$1002, $A49, Продажи!$E$2:$E$1002, "&lt;=" &amp; J$2, Продажи!$F$2:$F$1002, "&gt;" &amp; J$2)</f>
        <v>0</v>
      </c>
      <c r="K49" s="67">
        <f>COUNTIFS(Продажи!$B$2:$B$1002, $A49, Продажи!$E$2:$E$1002, "&lt;=" &amp; K$2, Продажи!$F$2:$F$1002, "&gt;" &amp; K$2)</f>
        <v>0</v>
      </c>
      <c r="L49" s="67">
        <f>COUNTIFS(Продажи!$B$2:$B$1002, $A49, Продажи!$E$2:$E$1002, "&lt;=" &amp; L$2, Продажи!$F$2:$F$1002, "&gt;" &amp; L$2)</f>
        <v>0</v>
      </c>
      <c r="M49" s="67">
        <f>COUNTIFS(Продажи!$B$2:$B$1002, $A49, Продажи!$E$2:$E$1002, "&lt;=" &amp; M$2, Продажи!$F$2:$F$1002, "&gt;" &amp; M$2)</f>
        <v>0</v>
      </c>
      <c r="N49" s="67">
        <f>COUNTIFS(Продажи!$B$2:$B$1002, $A49, Продажи!$E$2:$E$1002, "&lt;=" &amp; N$2, Продажи!$F$2:$F$1002, "&gt;" &amp; N$2)</f>
        <v>0</v>
      </c>
      <c r="O49" s="67">
        <f>COUNTIFS(Продажи!$B$2:$B$1002, $A49, Продажи!$E$2:$E$1002, "&lt;=" &amp; O$2, Продажи!$F$2:$F$1002, "&gt;" &amp; O$2)</f>
        <v>0</v>
      </c>
      <c r="P49" s="67">
        <f>COUNTIFS(Продажи!$B$2:$B$1002, $A49, Продажи!$E$2:$E$1002, "&lt;=" &amp; P$2, Продажи!$F$2:$F$1002, "&gt;" &amp; P$2)</f>
        <v>0</v>
      </c>
      <c r="Q49" s="67">
        <f>COUNTIFS(Продажи!$B$2:$B$1002, $A49, Продажи!$E$2:$E$1002, "&lt;=" &amp; Q$2, Продажи!$F$2:$F$1002, "&gt;" &amp; Q$2)</f>
        <v>0</v>
      </c>
      <c r="R49" s="67">
        <f>COUNTIFS(Продажи!$B$2:$B$1002, $A49, Продажи!$E$2:$E$1002, "&lt;=" &amp; R$2, Продажи!$F$2:$F$1002, "&gt;" &amp; R$2)</f>
        <v>0</v>
      </c>
      <c r="S49" s="67">
        <f>COUNTIFS(Продажи!$B$2:$B$1002, $A49, Продажи!$E$2:$E$1002, "&lt;=" &amp; S$2, Продажи!$F$2:$F$1002, "&gt;" &amp; S$2)</f>
        <v>0</v>
      </c>
      <c r="T49" s="67">
        <f>COUNTIFS(Продажи!$B$2:$B$1002, $A49, Продажи!$E$2:$E$1002, "&lt;=" &amp; T$2, Продажи!$F$2:$F$1002, "&gt;" &amp; T$2)</f>
        <v>0</v>
      </c>
      <c r="U49" s="67">
        <f>COUNTIFS(Продажи!$B$2:$B$1002, $A49, Продажи!$E$2:$E$1002, "&lt;=" &amp; U$2, Продажи!$F$2:$F$1002, "&gt;" &amp; U$2)</f>
        <v>0</v>
      </c>
      <c r="V49" s="67">
        <f>COUNTIFS(Продажи!$B$2:$B$1002, $A49, Продажи!$E$2:$E$1002, "&lt;=" &amp; V$2, Продажи!$F$2:$F$1002, "&gt;" &amp; V$2)</f>
        <v>0</v>
      </c>
      <c r="W49" s="67">
        <f>COUNTIFS(Продажи!$B$2:$B$1002, $A49, Продажи!$E$2:$E$1002, "&lt;=" &amp; W$2, Продажи!$F$2:$F$1002, "&gt;" &amp; W$2)</f>
        <v>0</v>
      </c>
      <c r="X49" s="67">
        <f>COUNTIFS(Продажи!$B$2:$B$1002, $A49, Продажи!$E$2:$E$1002, "&lt;=" &amp; X$2, Продажи!$F$2:$F$1002, "&gt;" &amp; X$2)</f>
        <v>0</v>
      </c>
      <c r="Y49" s="67">
        <f>COUNTIFS(Продажи!$B$2:$B$1002, $A49, Продажи!$E$2:$E$1002, "&lt;=" &amp; Y$2, Продажи!$F$2:$F$1002, "&gt;" &amp; Y$2)</f>
        <v>0</v>
      </c>
      <c r="Z49" s="67">
        <f>COUNTIFS(Продажи!$B$2:$B$1002, $A49, Продажи!$E$2:$E$1002, "&lt;=" &amp; Z$2, Продажи!$F$2:$F$1002, "&gt;" &amp; Z$2)</f>
        <v>0</v>
      </c>
      <c r="AA49" s="67">
        <f>COUNTIFS(Продажи!$B$2:$B$1002, $A49, Продажи!$E$2:$E$1002, "&lt;=" &amp; AA$2, Продажи!$F$2:$F$1002, "&gt;" &amp; AA$2)</f>
        <v>0</v>
      </c>
      <c r="AB49" s="67">
        <f>COUNTIFS(Продажи!$B$2:$B$1002, $A49, Продажи!$E$2:$E$1002, "&lt;=" &amp; AB$2, Продажи!$F$2:$F$1002, "&gt;" &amp; AB$2)</f>
        <v>0</v>
      </c>
      <c r="AC49" s="67">
        <f>COUNTIFS(Продажи!$B$2:$B$1002, $A49, Продажи!$E$2:$E$1002, "&lt;=" &amp; AC$2, Продажи!$F$2:$F$1002, "&gt;" &amp; AC$2)</f>
        <v>0</v>
      </c>
      <c r="AD49" s="67">
        <f>COUNTIFS(Продажи!$B$2:$B$1002, $A49, Продажи!$E$2:$E$1002, "&lt;=" &amp; AD$2, Продажи!$F$2:$F$1002, "&gt;" &amp; AD$2)</f>
        <v>0</v>
      </c>
      <c r="AE49" s="67">
        <f t="shared" si="0"/>
        <v>0</v>
      </c>
      <c r="AF49" s="64" t="str">
        <f ca="1">IF(SUM(OFFSET($B49,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49" s="98">
        <f>VLOOKUP(A49,ID_купе[],2,0)</f>
        <v>4</v>
      </c>
      <c r="AH49" s="132" t="str">
        <f t="shared" ca="1" si="1"/>
        <v>Частично</v>
      </c>
    </row>
    <row r="50" spans="1:34" x14ac:dyDescent="0.25">
      <c r="A50" s="68">
        <v>48</v>
      </c>
      <c r="B50" s="67">
        <f>COUNTIFS(Продажи!$B$2:$B$1002, $A50, Продажи!$E$2:$E$1002, "&lt;=" &amp; B$2, Продажи!$F$2:$F$1002, "&gt;" &amp; B$2)</f>
        <v>0</v>
      </c>
      <c r="C50" s="67">
        <f>COUNTIFS(Продажи!$B$2:$B$1002, $A50, Продажи!$E$2:$E$1002, "&lt;=" &amp; C$2, Продажи!$F$2:$F$1002, "&gt;" &amp; C$2)</f>
        <v>0</v>
      </c>
      <c r="D50" s="67">
        <f>COUNTIFS(Продажи!$B$2:$B$1002, $A50, Продажи!$E$2:$E$1002, "&lt;=" &amp; D$2, Продажи!$F$2:$F$1002, "&gt;" &amp; D$2)</f>
        <v>0</v>
      </c>
      <c r="E50" s="67">
        <f>COUNTIFS(Продажи!$B$2:$B$1002, $A50, Продажи!$E$2:$E$1002, "&lt;=" &amp; E$2, Продажи!$F$2:$F$1002, "&gt;" &amp; E$2)</f>
        <v>0</v>
      </c>
      <c r="F50" s="67">
        <f>COUNTIFS(Продажи!$B$2:$B$1002, $A50, Продажи!$E$2:$E$1002, "&lt;=" &amp; F$2, Продажи!$F$2:$F$1002, "&gt;" &amp; F$2)</f>
        <v>0</v>
      </c>
      <c r="G50" s="67">
        <f>COUNTIFS(Продажи!$B$2:$B$1002, $A50, Продажи!$E$2:$E$1002, "&lt;=" &amp; G$2, Продажи!$F$2:$F$1002, "&gt;" &amp; G$2)</f>
        <v>0</v>
      </c>
      <c r="H50" s="67">
        <f>COUNTIFS(Продажи!$B$2:$B$1002, $A50, Продажи!$E$2:$E$1002, "&lt;=" &amp; H$2, Продажи!$F$2:$F$1002, "&gt;" &amp; H$2)</f>
        <v>0</v>
      </c>
      <c r="I50" s="67">
        <f>COUNTIFS(Продажи!$B$2:$B$1002, $A50, Продажи!$E$2:$E$1002, "&lt;=" &amp; I$2, Продажи!$F$2:$F$1002, "&gt;" &amp; I$2)</f>
        <v>0</v>
      </c>
      <c r="J50" s="67">
        <f>COUNTIFS(Продажи!$B$2:$B$1002, $A50, Продажи!$E$2:$E$1002, "&lt;=" &amp; J$2, Продажи!$F$2:$F$1002, "&gt;" &amp; J$2)</f>
        <v>0</v>
      </c>
      <c r="K50" s="67">
        <f>COUNTIFS(Продажи!$B$2:$B$1002, $A50, Продажи!$E$2:$E$1002, "&lt;=" &amp; K$2, Продажи!$F$2:$F$1002, "&gt;" &amp; K$2)</f>
        <v>0</v>
      </c>
      <c r="L50" s="67">
        <f>COUNTIFS(Продажи!$B$2:$B$1002, $A50, Продажи!$E$2:$E$1002, "&lt;=" &amp; L$2, Продажи!$F$2:$F$1002, "&gt;" &amp; L$2)</f>
        <v>0</v>
      </c>
      <c r="M50" s="67">
        <f>COUNTIFS(Продажи!$B$2:$B$1002, $A50, Продажи!$E$2:$E$1002, "&lt;=" &amp; M$2, Продажи!$F$2:$F$1002, "&gt;" &amp; M$2)</f>
        <v>0</v>
      </c>
      <c r="N50" s="67">
        <f>COUNTIFS(Продажи!$B$2:$B$1002, $A50, Продажи!$E$2:$E$1002, "&lt;=" &amp; N$2, Продажи!$F$2:$F$1002, "&gt;" &amp; N$2)</f>
        <v>0</v>
      </c>
      <c r="O50" s="67">
        <f>COUNTIFS(Продажи!$B$2:$B$1002, $A50, Продажи!$E$2:$E$1002, "&lt;=" &amp; O$2, Продажи!$F$2:$F$1002, "&gt;" &amp; O$2)</f>
        <v>0</v>
      </c>
      <c r="P50" s="67">
        <f>COUNTIFS(Продажи!$B$2:$B$1002, $A50, Продажи!$E$2:$E$1002, "&lt;=" &amp; P$2, Продажи!$F$2:$F$1002, "&gt;" &amp; P$2)</f>
        <v>0</v>
      </c>
      <c r="Q50" s="67">
        <f>COUNTIFS(Продажи!$B$2:$B$1002, $A50, Продажи!$E$2:$E$1002, "&lt;=" &amp; Q$2, Продажи!$F$2:$F$1002, "&gt;" &amp; Q$2)</f>
        <v>0</v>
      </c>
      <c r="R50" s="67">
        <f>COUNTIFS(Продажи!$B$2:$B$1002, $A50, Продажи!$E$2:$E$1002, "&lt;=" &amp; R$2, Продажи!$F$2:$F$1002, "&gt;" &amp; R$2)</f>
        <v>0</v>
      </c>
      <c r="S50" s="67">
        <f>COUNTIFS(Продажи!$B$2:$B$1002, $A50, Продажи!$E$2:$E$1002, "&lt;=" &amp; S$2, Продажи!$F$2:$F$1002, "&gt;" &amp; S$2)</f>
        <v>0</v>
      </c>
      <c r="T50" s="67">
        <f>COUNTIFS(Продажи!$B$2:$B$1002, $A50, Продажи!$E$2:$E$1002, "&lt;=" &amp; T$2, Продажи!$F$2:$F$1002, "&gt;" &amp; T$2)</f>
        <v>0</v>
      </c>
      <c r="U50" s="67">
        <f>COUNTIFS(Продажи!$B$2:$B$1002, $A50, Продажи!$E$2:$E$1002, "&lt;=" &amp; U$2, Продажи!$F$2:$F$1002, "&gt;" &amp; U$2)</f>
        <v>0</v>
      </c>
      <c r="V50" s="67">
        <f>COUNTIFS(Продажи!$B$2:$B$1002, $A50, Продажи!$E$2:$E$1002, "&lt;=" &amp; V$2, Продажи!$F$2:$F$1002, "&gt;" &amp; V$2)</f>
        <v>0</v>
      </c>
      <c r="W50" s="67">
        <f>COUNTIFS(Продажи!$B$2:$B$1002, $A50, Продажи!$E$2:$E$1002, "&lt;=" &amp; W$2, Продажи!$F$2:$F$1002, "&gt;" &amp; W$2)</f>
        <v>0</v>
      </c>
      <c r="X50" s="67">
        <f>COUNTIFS(Продажи!$B$2:$B$1002, $A50, Продажи!$E$2:$E$1002, "&lt;=" &amp; X$2, Продажи!$F$2:$F$1002, "&gt;" &amp; X$2)</f>
        <v>0</v>
      </c>
      <c r="Y50" s="67">
        <f>COUNTIFS(Продажи!$B$2:$B$1002, $A50, Продажи!$E$2:$E$1002, "&lt;=" &amp; Y$2, Продажи!$F$2:$F$1002, "&gt;" &amp; Y$2)</f>
        <v>0</v>
      </c>
      <c r="Z50" s="67">
        <f>COUNTIFS(Продажи!$B$2:$B$1002, $A50, Продажи!$E$2:$E$1002, "&lt;=" &amp; Z$2, Продажи!$F$2:$F$1002, "&gt;" &amp; Z$2)</f>
        <v>0</v>
      </c>
      <c r="AA50" s="67">
        <f>COUNTIFS(Продажи!$B$2:$B$1002, $A50, Продажи!$E$2:$E$1002, "&lt;=" &amp; AA$2, Продажи!$F$2:$F$1002, "&gt;" &amp; AA$2)</f>
        <v>0</v>
      </c>
      <c r="AB50" s="67">
        <f>COUNTIFS(Продажи!$B$2:$B$1002, $A50, Продажи!$E$2:$E$1002, "&lt;=" &amp; AB$2, Продажи!$F$2:$F$1002, "&gt;" &amp; AB$2)</f>
        <v>0</v>
      </c>
      <c r="AC50" s="67">
        <f>COUNTIFS(Продажи!$B$2:$B$1002, $A50, Продажи!$E$2:$E$1002, "&lt;=" &amp; AC$2, Продажи!$F$2:$F$1002, "&gt;" &amp; AC$2)</f>
        <v>0</v>
      </c>
      <c r="AD50" s="67">
        <f>COUNTIFS(Продажи!$B$2:$B$1002, $A50, Продажи!$E$2:$E$1002, "&lt;=" &amp; AD$2, Продажи!$F$2:$F$1002, "&gt;" &amp; AD$2)</f>
        <v>0</v>
      </c>
      <c r="AE50" s="67">
        <f t="shared" si="0"/>
        <v>0</v>
      </c>
      <c r="AF50" s="64" t="str">
        <f ca="1">IF(SUM(OFFSET($B50,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50" s="98">
        <f>VLOOKUP(A50,ID_купе[],2,0)</f>
        <v>4</v>
      </c>
      <c r="AH50" s="132" t="str">
        <f t="shared" ca="1" si="1"/>
        <v>Частично</v>
      </c>
    </row>
    <row r="51" spans="1:34" x14ac:dyDescent="0.25">
      <c r="A51" s="68">
        <v>49</v>
      </c>
      <c r="B51" s="67">
        <f>COUNTIFS(Продажи!$B$2:$B$1002, $A51, Продажи!$E$2:$E$1002, "&lt;=" &amp; B$2, Продажи!$F$2:$F$1002, "&gt;" &amp; B$2)</f>
        <v>0</v>
      </c>
      <c r="C51" s="67">
        <f>COUNTIFS(Продажи!$B$2:$B$1002, $A51, Продажи!$E$2:$E$1002, "&lt;=" &amp; C$2, Продажи!$F$2:$F$1002, "&gt;" &amp; C$2)</f>
        <v>0</v>
      </c>
      <c r="D51" s="67">
        <f>COUNTIFS(Продажи!$B$2:$B$1002, $A51, Продажи!$E$2:$E$1002, "&lt;=" &amp; D$2, Продажи!$F$2:$F$1002, "&gt;" &amp; D$2)</f>
        <v>0</v>
      </c>
      <c r="E51" s="67">
        <f>COUNTIFS(Продажи!$B$2:$B$1002, $A51, Продажи!$E$2:$E$1002, "&lt;=" &amp; E$2, Продажи!$F$2:$F$1002, "&gt;" &amp; E$2)</f>
        <v>0</v>
      </c>
      <c r="F51" s="67">
        <f>COUNTIFS(Продажи!$B$2:$B$1002, $A51, Продажи!$E$2:$E$1002, "&lt;=" &amp; F$2, Продажи!$F$2:$F$1002, "&gt;" &amp; F$2)</f>
        <v>0</v>
      </c>
      <c r="G51" s="67">
        <f>COUNTIFS(Продажи!$B$2:$B$1002, $A51, Продажи!$E$2:$E$1002, "&lt;=" &amp; G$2, Продажи!$F$2:$F$1002, "&gt;" &amp; G$2)</f>
        <v>0</v>
      </c>
      <c r="H51" s="67">
        <f>COUNTIFS(Продажи!$B$2:$B$1002, $A51, Продажи!$E$2:$E$1002, "&lt;=" &amp; H$2, Продажи!$F$2:$F$1002, "&gt;" &amp; H$2)</f>
        <v>0</v>
      </c>
      <c r="I51" s="67">
        <f>COUNTIFS(Продажи!$B$2:$B$1002, $A51, Продажи!$E$2:$E$1002, "&lt;=" &amp; I$2, Продажи!$F$2:$F$1002, "&gt;" &amp; I$2)</f>
        <v>0</v>
      </c>
      <c r="J51" s="67">
        <f>COUNTIFS(Продажи!$B$2:$B$1002, $A51, Продажи!$E$2:$E$1002, "&lt;=" &amp; J$2, Продажи!$F$2:$F$1002, "&gt;" &amp; J$2)</f>
        <v>0</v>
      </c>
      <c r="K51" s="67">
        <f>COUNTIFS(Продажи!$B$2:$B$1002, $A51, Продажи!$E$2:$E$1002, "&lt;=" &amp; K$2, Продажи!$F$2:$F$1002, "&gt;" &amp; K$2)</f>
        <v>0</v>
      </c>
      <c r="L51" s="67">
        <f>COUNTIFS(Продажи!$B$2:$B$1002, $A51, Продажи!$E$2:$E$1002, "&lt;=" &amp; L$2, Продажи!$F$2:$F$1002, "&gt;" &amp; L$2)</f>
        <v>0</v>
      </c>
      <c r="M51" s="67">
        <f>COUNTIFS(Продажи!$B$2:$B$1002, $A51, Продажи!$E$2:$E$1002, "&lt;=" &amp; M$2, Продажи!$F$2:$F$1002, "&gt;" &amp; M$2)</f>
        <v>0</v>
      </c>
      <c r="N51" s="67">
        <f>COUNTIFS(Продажи!$B$2:$B$1002, $A51, Продажи!$E$2:$E$1002, "&lt;=" &amp; N$2, Продажи!$F$2:$F$1002, "&gt;" &amp; N$2)</f>
        <v>0</v>
      </c>
      <c r="O51" s="67">
        <f>COUNTIFS(Продажи!$B$2:$B$1002, $A51, Продажи!$E$2:$E$1002, "&lt;=" &amp; O$2, Продажи!$F$2:$F$1002, "&gt;" &amp; O$2)</f>
        <v>0</v>
      </c>
      <c r="P51" s="67">
        <f>COUNTIFS(Продажи!$B$2:$B$1002, $A51, Продажи!$E$2:$E$1002, "&lt;=" &amp; P$2, Продажи!$F$2:$F$1002, "&gt;" &amp; P$2)</f>
        <v>0</v>
      </c>
      <c r="Q51" s="67">
        <f>COUNTIFS(Продажи!$B$2:$B$1002, $A51, Продажи!$E$2:$E$1002, "&lt;=" &amp; Q$2, Продажи!$F$2:$F$1002, "&gt;" &amp; Q$2)</f>
        <v>0</v>
      </c>
      <c r="R51" s="67">
        <f>COUNTIFS(Продажи!$B$2:$B$1002, $A51, Продажи!$E$2:$E$1002, "&lt;=" &amp; R$2, Продажи!$F$2:$F$1002, "&gt;" &amp; R$2)</f>
        <v>0</v>
      </c>
      <c r="S51" s="67">
        <f>COUNTIFS(Продажи!$B$2:$B$1002, $A51, Продажи!$E$2:$E$1002, "&lt;=" &amp; S$2, Продажи!$F$2:$F$1002, "&gt;" &amp; S$2)</f>
        <v>0</v>
      </c>
      <c r="T51" s="67">
        <f>COUNTIFS(Продажи!$B$2:$B$1002, $A51, Продажи!$E$2:$E$1002, "&lt;=" &amp; T$2, Продажи!$F$2:$F$1002, "&gt;" &amp; T$2)</f>
        <v>0</v>
      </c>
      <c r="U51" s="67">
        <f>COUNTIFS(Продажи!$B$2:$B$1002, $A51, Продажи!$E$2:$E$1002, "&lt;=" &amp; U$2, Продажи!$F$2:$F$1002, "&gt;" &amp; U$2)</f>
        <v>0</v>
      </c>
      <c r="V51" s="67">
        <f>COUNTIFS(Продажи!$B$2:$B$1002, $A51, Продажи!$E$2:$E$1002, "&lt;=" &amp; V$2, Продажи!$F$2:$F$1002, "&gt;" &amp; V$2)</f>
        <v>0</v>
      </c>
      <c r="W51" s="67">
        <f>COUNTIFS(Продажи!$B$2:$B$1002, $A51, Продажи!$E$2:$E$1002, "&lt;=" &amp; W$2, Продажи!$F$2:$F$1002, "&gt;" &amp; W$2)</f>
        <v>0</v>
      </c>
      <c r="X51" s="67">
        <f>COUNTIFS(Продажи!$B$2:$B$1002, $A51, Продажи!$E$2:$E$1002, "&lt;=" &amp; X$2, Продажи!$F$2:$F$1002, "&gt;" &amp; X$2)</f>
        <v>0</v>
      </c>
      <c r="Y51" s="67">
        <f>COUNTIFS(Продажи!$B$2:$B$1002, $A51, Продажи!$E$2:$E$1002, "&lt;=" &amp; Y$2, Продажи!$F$2:$F$1002, "&gt;" &amp; Y$2)</f>
        <v>0</v>
      </c>
      <c r="Z51" s="67">
        <f>COUNTIFS(Продажи!$B$2:$B$1002, $A51, Продажи!$E$2:$E$1002, "&lt;=" &amp; Z$2, Продажи!$F$2:$F$1002, "&gt;" &amp; Z$2)</f>
        <v>0</v>
      </c>
      <c r="AA51" s="67">
        <f>COUNTIFS(Продажи!$B$2:$B$1002, $A51, Продажи!$E$2:$E$1002, "&lt;=" &amp; AA$2, Продажи!$F$2:$F$1002, "&gt;" &amp; AA$2)</f>
        <v>0</v>
      </c>
      <c r="AB51" s="67">
        <f>COUNTIFS(Продажи!$B$2:$B$1002, $A51, Продажи!$E$2:$E$1002, "&lt;=" &amp; AB$2, Продажи!$F$2:$F$1002, "&gt;" &amp; AB$2)</f>
        <v>0</v>
      </c>
      <c r="AC51" s="67">
        <f>COUNTIFS(Продажи!$B$2:$B$1002, $A51, Продажи!$E$2:$E$1002, "&lt;=" &amp; AC$2, Продажи!$F$2:$F$1002, "&gt;" &amp; AC$2)</f>
        <v>0</v>
      </c>
      <c r="AD51" s="67">
        <f>COUNTIFS(Продажи!$B$2:$B$1002, $A51, Продажи!$E$2:$E$1002, "&lt;=" &amp; AD$2, Продажи!$F$2:$F$1002, "&gt;" &amp; AD$2)</f>
        <v>0</v>
      </c>
      <c r="AE51" s="67">
        <f t="shared" si="0"/>
        <v>0</v>
      </c>
      <c r="AF51" s="64" t="str">
        <f ca="1">IF(SUM(OFFSET($B51,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51" s="98">
        <f>VLOOKUP(A51,ID_купе[],2,0)</f>
        <v>3</v>
      </c>
      <c r="AH51" s="132" t="str">
        <f t="shared" ca="1" si="1"/>
        <v>Частично</v>
      </c>
    </row>
    <row r="52" spans="1:34" x14ac:dyDescent="0.25">
      <c r="A52" s="68">
        <v>50</v>
      </c>
      <c r="B52" s="67">
        <f>COUNTIFS(Продажи!$B$2:$B$1002, $A52, Продажи!$E$2:$E$1002, "&lt;=" &amp; B$2, Продажи!$F$2:$F$1002, "&gt;" &amp; B$2)</f>
        <v>0</v>
      </c>
      <c r="C52" s="67">
        <f>COUNTIFS(Продажи!$B$2:$B$1002, $A52, Продажи!$E$2:$E$1002, "&lt;=" &amp; C$2, Продажи!$F$2:$F$1002, "&gt;" &amp; C$2)</f>
        <v>0</v>
      </c>
      <c r="D52" s="67">
        <f>COUNTIFS(Продажи!$B$2:$B$1002, $A52, Продажи!$E$2:$E$1002, "&lt;=" &amp; D$2, Продажи!$F$2:$F$1002, "&gt;" &amp; D$2)</f>
        <v>0</v>
      </c>
      <c r="E52" s="67">
        <f>COUNTIFS(Продажи!$B$2:$B$1002, $A52, Продажи!$E$2:$E$1002, "&lt;=" &amp; E$2, Продажи!$F$2:$F$1002, "&gt;" &amp; E$2)</f>
        <v>0</v>
      </c>
      <c r="F52" s="67">
        <f>COUNTIFS(Продажи!$B$2:$B$1002, $A52, Продажи!$E$2:$E$1002, "&lt;=" &amp; F$2, Продажи!$F$2:$F$1002, "&gt;" &amp; F$2)</f>
        <v>0</v>
      </c>
      <c r="G52" s="67">
        <f>COUNTIFS(Продажи!$B$2:$B$1002, $A52, Продажи!$E$2:$E$1002, "&lt;=" &amp; G$2, Продажи!$F$2:$F$1002, "&gt;" &amp; G$2)</f>
        <v>0</v>
      </c>
      <c r="H52" s="67">
        <f>COUNTIFS(Продажи!$B$2:$B$1002, $A52, Продажи!$E$2:$E$1002, "&lt;=" &amp; H$2, Продажи!$F$2:$F$1002, "&gt;" &amp; H$2)</f>
        <v>0</v>
      </c>
      <c r="I52" s="67">
        <f>COUNTIFS(Продажи!$B$2:$B$1002, $A52, Продажи!$E$2:$E$1002, "&lt;=" &amp; I$2, Продажи!$F$2:$F$1002, "&gt;" &amp; I$2)</f>
        <v>0</v>
      </c>
      <c r="J52" s="67">
        <f>COUNTIFS(Продажи!$B$2:$B$1002, $A52, Продажи!$E$2:$E$1002, "&lt;=" &amp; J$2, Продажи!$F$2:$F$1002, "&gt;" &amp; J$2)</f>
        <v>0</v>
      </c>
      <c r="K52" s="67">
        <f>COUNTIFS(Продажи!$B$2:$B$1002, $A52, Продажи!$E$2:$E$1002, "&lt;=" &amp; K$2, Продажи!$F$2:$F$1002, "&gt;" &amp; K$2)</f>
        <v>0</v>
      </c>
      <c r="L52" s="67">
        <f>COUNTIFS(Продажи!$B$2:$B$1002, $A52, Продажи!$E$2:$E$1002, "&lt;=" &amp; L$2, Продажи!$F$2:$F$1002, "&gt;" &amp; L$2)</f>
        <v>0</v>
      </c>
      <c r="M52" s="67">
        <f>COUNTIFS(Продажи!$B$2:$B$1002, $A52, Продажи!$E$2:$E$1002, "&lt;=" &amp; M$2, Продажи!$F$2:$F$1002, "&gt;" &amp; M$2)</f>
        <v>0</v>
      </c>
      <c r="N52" s="67">
        <f>COUNTIFS(Продажи!$B$2:$B$1002, $A52, Продажи!$E$2:$E$1002, "&lt;=" &amp; N$2, Продажи!$F$2:$F$1002, "&gt;" &amp; N$2)</f>
        <v>0</v>
      </c>
      <c r="O52" s="67">
        <f>COUNTIFS(Продажи!$B$2:$B$1002, $A52, Продажи!$E$2:$E$1002, "&lt;=" &amp; O$2, Продажи!$F$2:$F$1002, "&gt;" &amp; O$2)</f>
        <v>0</v>
      </c>
      <c r="P52" s="67">
        <f>COUNTIFS(Продажи!$B$2:$B$1002, $A52, Продажи!$E$2:$E$1002, "&lt;=" &amp; P$2, Продажи!$F$2:$F$1002, "&gt;" &amp; P$2)</f>
        <v>0</v>
      </c>
      <c r="Q52" s="67">
        <f>COUNTIFS(Продажи!$B$2:$B$1002, $A52, Продажи!$E$2:$E$1002, "&lt;=" &amp; Q$2, Продажи!$F$2:$F$1002, "&gt;" &amp; Q$2)</f>
        <v>0</v>
      </c>
      <c r="R52" s="67">
        <f>COUNTIFS(Продажи!$B$2:$B$1002, $A52, Продажи!$E$2:$E$1002, "&lt;=" &amp; R$2, Продажи!$F$2:$F$1002, "&gt;" &amp; R$2)</f>
        <v>0</v>
      </c>
      <c r="S52" s="67">
        <f>COUNTIFS(Продажи!$B$2:$B$1002, $A52, Продажи!$E$2:$E$1002, "&lt;=" &amp; S$2, Продажи!$F$2:$F$1002, "&gt;" &amp; S$2)</f>
        <v>0</v>
      </c>
      <c r="T52" s="67">
        <f>COUNTIFS(Продажи!$B$2:$B$1002, $A52, Продажи!$E$2:$E$1002, "&lt;=" &amp; T$2, Продажи!$F$2:$F$1002, "&gt;" &amp; T$2)</f>
        <v>0</v>
      </c>
      <c r="U52" s="67">
        <f>COUNTIFS(Продажи!$B$2:$B$1002, $A52, Продажи!$E$2:$E$1002, "&lt;=" &amp; U$2, Продажи!$F$2:$F$1002, "&gt;" &amp; U$2)</f>
        <v>0</v>
      </c>
      <c r="V52" s="67">
        <f>COUNTIFS(Продажи!$B$2:$B$1002, $A52, Продажи!$E$2:$E$1002, "&lt;=" &amp; V$2, Продажи!$F$2:$F$1002, "&gt;" &amp; V$2)</f>
        <v>0</v>
      </c>
      <c r="W52" s="67">
        <f>COUNTIFS(Продажи!$B$2:$B$1002, $A52, Продажи!$E$2:$E$1002, "&lt;=" &amp; W$2, Продажи!$F$2:$F$1002, "&gt;" &amp; W$2)</f>
        <v>0</v>
      </c>
      <c r="X52" s="67">
        <f>COUNTIFS(Продажи!$B$2:$B$1002, $A52, Продажи!$E$2:$E$1002, "&lt;=" &amp; X$2, Продажи!$F$2:$F$1002, "&gt;" &amp; X$2)</f>
        <v>0</v>
      </c>
      <c r="Y52" s="67">
        <f>COUNTIFS(Продажи!$B$2:$B$1002, $A52, Продажи!$E$2:$E$1002, "&lt;=" &amp; Y$2, Продажи!$F$2:$F$1002, "&gt;" &amp; Y$2)</f>
        <v>0</v>
      </c>
      <c r="Z52" s="67">
        <f>COUNTIFS(Продажи!$B$2:$B$1002, $A52, Продажи!$E$2:$E$1002, "&lt;=" &amp; Z$2, Продажи!$F$2:$F$1002, "&gt;" &amp; Z$2)</f>
        <v>0</v>
      </c>
      <c r="AA52" s="67">
        <f>COUNTIFS(Продажи!$B$2:$B$1002, $A52, Продажи!$E$2:$E$1002, "&lt;=" &amp; AA$2, Продажи!$F$2:$F$1002, "&gt;" &amp; AA$2)</f>
        <v>0</v>
      </c>
      <c r="AB52" s="67">
        <f>COUNTIFS(Продажи!$B$2:$B$1002, $A52, Продажи!$E$2:$E$1002, "&lt;=" &amp; AB$2, Продажи!$F$2:$F$1002, "&gt;" &amp; AB$2)</f>
        <v>0</v>
      </c>
      <c r="AC52" s="67">
        <f>COUNTIFS(Продажи!$B$2:$B$1002, $A52, Продажи!$E$2:$E$1002, "&lt;=" &amp; AC$2, Продажи!$F$2:$F$1002, "&gt;" &amp; AC$2)</f>
        <v>0</v>
      </c>
      <c r="AD52" s="67">
        <f>COUNTIFS(Продажи!$B$2:$B$1002, $A52, Продажи!$E$2:$E$1002, "&lt;=" &amp; AD$2, Продажи!$F$2:$F$1002, "&gt;" &amp; AD$2)</f>
        <v>0</v>
      </c>
      <c r="AE52" s="67">
        <f t="shared" si="0"/>
        <v>0</v>
      </c>
      <c r="AF52" s="64" t="str">
        <f ca="1">IF(SUM(OFFSET($B52,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52" s="98">
        <f>VLOOKUP(A52,ID_купе[],2,0)</f>
        <v>3</v>
      </c>
      <c r="AH52" s="132" t="str">
        <f t="shared" ca="1" si="1"/>
        <v>Частично</v>
      </c>
    </row>
    <row r="53" spans="1:34" x14ac:dyDescent="0.25">
      <c r="A53" s="68">
        <v>51</v>
      </c>
      <c r="B53" s="67">
        <f>COUNTIFS(Продажи!$B$2:$B$1002, $A53, Продажи!$E$2:$E$1002, "&lt;=" &amp; B$2, Продажи!$F$2:$F$1002, "&gt;" &amp; B$2)</f>
        <v>0</v>
      </c>
      <c r="C53" s="67">
        <f>COUNTIFS(Продажи!$B$2:$B$1002, $A53, Продажи!$E$2:$E$1002, "&lt;=" &amp; C$2, Продажи!$F$2:$F$1002, "&gt;" &amp; C$2)</f>
        <v>0</v>
      </c>
      <c r="D53" s="67">
        <f>COUNTIFS(Продажи!$B$2:$B$1002, $A53, Продажи!$E$2:$E$1002, "&lt;=" &amp; D$2, Продажи!$F$2:$F$1002, "&gt;" &amp; D$2)</f>
        <v>0</v>
      </c>
      <c r="E53" s="67">
        <f>COUNTIFS(Продажи!$B$2:$B$1002, $A53, Продажи!$E$2:$E$1002, "&lt;=" &amp; E$2, Продажи!$F$2:$F$1002, "&gt;" &amp; E$2)</f>
        <v>0</v>
      </c>
      <c r="F53" s="67">
        <f>COUNTIFS(Продажи!$B$2:$B$1002, $A53, Продажи!$E$2:$E$1002, "&lt;=" &amp; F$2, Продажи!$F$2:$F$1002, "&gt;" &amp; F$2)</f>
        <v>0</v>
      </c>
      <c r="G53" s="67">
        <f>COUNTIFS(Продажи!$B$2:$B$1002, $A53, Продажи!$E$2:$E$1002, "&lt;=" &amp; G$2, Продажи!$F$2:$F$1002, "&gt;" &amp; G$2)</f>
        <v>0</v>
      </c>
      <c r="H53" s="67">
        <f>COUNTIFS(Продажи!$B$2:$B$1002, $A53, Продажи!$E$2:$E$1002, "&lt;=" &amp; H$2, Продажи!$F$2:$F$1002, "&gt;" &amp; H$2)</f>
        <v>0</v>
      </c>
      <c r="I53" s="67">
        <f>COUNTIFS(Продажи!$B$2:$B$1002, $A53, Продажи!$E$2:$E$1002, "&lt;=" &amp; I$2, Продажи!$F$2:$F$1002, "&gt;" &amp; I$2)</f>
        <v>0</v>
      </c>
      <c r="J53" s="67">
        <f>COUNTIFS(Продажи!$B$2:$B$1002, $A53, Продажи!$E$2:$E$1002, "&lt;=" &amp; J$2, Продажи!$F$2:$F$1002, "&gt;" &amp; J$2)</f>
        <v>0</v>
      </c>
      <c r="K53" s="67">
        <f>COUNTIFS(Продажи!$B$2:$B$1002, $A53, Продажи!$E$2:$E$1002, "&lt;=" &amp; K$2, Продажи!$F$2:$F$1002, "&gt;" &amp; K$2)</f>
        <v>0</v>
      </c>
      <c r="L53" s="67">
        <f>COUNTIFS(Продажи!$B$2:$B$1002, $A53, Продажи!$E$2:$E$1002, "&lt;=" &amp; L$2, Продажи!$F$2:$F$1002, "&gt;" &amp; L$2)</f>
        <v>0</v>
      </c>
      <c r="M53" s="67">
        <f>COUNTIFS(Продажи!$B$2:$B$1002, $A53, Продажи!$E$2:$E$1002, "&lt;=" &amp; M$2, Продажи!$F$2:$F$1002, "&gt;" &amp; M$2)</f>
        <v>0</v>
      </c>
      <c r="N53" s="67">
        <f>COUNTIFS(Продажи!$B$2:$B$1002, $A53, Продажи!$E$2:$E$1002, "&lt;=" &amp; N$2, Продажи!$F$2:$F$1002, "&gt;" &amp; N$2)</f>
        <v>0</v>
      </c>
      <c r="O53" s="67">
        <f>COUNTIFS(Продажи!$B$2:$B$1002, $A53, Продажи!$E$2:$E$1002, "&lt;=" &amp; O$2, Продажи!$F$2:$F$1002, "&gt;" &amp; O$2)</f>
        <v>0</v>
      </c>
      <c r="P53" s="67">
        <f>COUNTIFS(Продажи!$B$2:$B$1002, $A53, Продажи!$E$2:$E$1002, "&lt;=" &amp; P$2, Продажи!$F$2:$F$1002, "&gt;" &amp; P$2)</f>
        <v>0</v>
      </c>
      <c r="Q53" s="67">
        <f>COUNTIFS(Продажи!$B$2:$B$1002, $A53, Продажи!$E$2:$E$1002, "&lt;=" &amp; Q$2, Продажи!$F$2:$F$1002, "&gt;" &amp; Q$2)</f>
        <v>0</v>
      </c>
      <c r="R53" s="67">
        <f>COUNTIFS(Продажи!$B$2:$B$1002, $A53, Продажи!$E$2:$E$1002, "&lt;=" &amp; R$2, Продажи!$F$2:$F$1002, "&gt;" &amp; R$2)</f>
        <v>0</v>
      </c>
      <c r="S53" s="67">
        <f>COUNTIFS(Продажи!$B$2:$B$1002, $A53, Продажи!$E$2:$E$1002, "&lt;=" &amp; S$2, Продажи!$F$2:$F$1002, "&gt;" &amp; S$2)</f>
        <v>0</v>
      </c>
      <c r="T53" s="67">
        <f>COUNTIFS(Продажи!$B$2:$B$1002, $A53, Продажи!$E$2:$E$1002, "&lt;=" &amp; T$2, Продажи!$F$2:$F$1002, "&gt;" &amp; T$2)</f>
        <v>0</v>
      </c>
      <c r="U53" s="67">
        <f>COUNTIFS(Продажи!$B$2:$B$1002, $A53, Продажи!$E$2:$E$1002, "&lt;=" &amp; U$2, Продажи!$F$2:$F$1002, "&gt;" &amp; U$2)</f>
        <v>0</v>
      </c>
      <c r="V53" s="67">
        <f>COUNTIFS(Продажи!$B$2:$B$1002, $A53, Продажи!$E$2:$E$1002, "&lt;=" &amp; V$2, Продажи!$F$2:$F$1002, "&gt;" &amp; V$2)</f>
        <v>0</v>
      </c>
      <c r="W53" s="67">
        <f>COUNTIFS(Продажи!$B$2:$B$1002, $A53, Продажи!$E$2:$E$1002, "&lt;=" &amp; W$2, Продажи!$F$2:$F$1002, "&gt;" &amp; W$2)</f>
        <v>0</v>
      </c>
      <c r="X53" s="67">
        <f>COUNTIFS(Продажи!$B$2:$B$1002, $A53, Продажи!$E$2:$E$1002, "&lt;=" &amp; X$2, Продажи!$F$2:$F$1002, "&gt;" &amp; X$2)</f>
        <v>0</v>
      </c>
      <c r="Y53" s="67">
        <f>COUNTIFS(Продажи!$B$2:$B$1002, $A53, Продажи!$E$2:$E$1002, "&lt;=" &amp; Y$2, Продажи!$F$2:$F$1002, "&gt;" &amp; Y$2)</f>
        <v>0</v>
      </c>
      <c r="Z53" s="67">
        <f>COUNTIFS(Продажи!$B$2:$B$1002, $A53, Продажи!$E$2:$E$1002, "&lt;=" &amp; Z$2, Продажи!$F$2:$F$1002, "&gt;" &amp; Z$2)</f>
        <v>0</v>
      </c>
      <c r="AA53" s="67">
        <f>COUNTIFS(Продажи!$B$2:$B$1002, $A53, Продажи!$E$2:$E$1002, "&lt;=" &amp; AA$2, Продажи!$F$2:$F$1002, "&gt;" &amp; AA$2)</f>
        <v>0</v>
      </c>
      <c r="AB53" s="67">
        <f>COUNTIFS(Продажи!$B$2:$B$1002, $A53, Продажи!$E$2:$E$1002, "&lt;=" &amp; AB$2, Продажи!$F$2:$F$1002, "&gt;" &amp; AB$2)</f>
        <v>0</v>
      </c>
      <c r="AC53" s="67">
        <f>COUNTIFS(Продажи!$B$2:$B$1002, $A53, Продажи!$E$2:$E$1002, "&lt;=" &amp; AC$2, Продажи!$F$2:$F$1002, "&gt;" &amp; AC$2)</f>
        <v>0</v>
      </c>
      <c r="AD53" s="67">
        <f>COUNTIFS(Продажи!$B$2:$B$1002, $A53, Продажи!$E$2:$E$1002, "&lt;=" &amp; AD$2, Продажи!$F$2:$F$1002, "&gt;" &amp; AD$2)</f>
        <v>0</v>
      </c>
      <c r="AE53" s="67">
        <f t="shared" si="0"/>
        <v>0</v>
      </c>
      <c r="AF53" s="64" t="str">
        <f ca="1">IF(SUM(OFFSET($B53,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53" s="98">
        <f>VLOOKUP(A53,ID_купе[],2,0)</f>
        <v>2</v>
      </c>
      <c r="AH53" s="132" t="str">
        <f t="shared" ca="1" si="1"/>
        <v>Частично</v>
      </c>
    </row>
    <row r="54" spans="1:34" x14ac:dyDescent="0.25">
      <c r="A54" s="68">
        <v>52</v>
      </c>
      <c r="B54" s="67">
        <f>COUNTIFS(Продажи!$B$2:$B$1002, $A54, Продажи!$E$2:$E$1002, "&lt;=" &amp; B$2, Продажи!$F$2:$F$1002, "&gt;" &amp; B$2)</f>
        <v>0</v>
      </c>
      <c r="C54" s="67">
        <f>COUNTIFS(Продажи!$B$2:$B$1002, $A54, Продажи!$E$2:$E$1002, "&lt;=" &amp; C$2, Продажи!$F$2:$F$1002, "&gt;" &amp; C$2)</f>
        <v>0</v>
      </c>
      <c r="D54" s="67">
        <f>COUNTIFS(Продажи!$B$2:$B$1002, $A54, Продажи!$E$2:$E$1002, "&lt;=" &amp; D$2, Продажи!$F$2:$F$1002, "&gt;" &amp; D$2)</f>
        <v>0</v>
      </c>
      <c r="E54" s="67">
        <f>COUNTIFS(Продажи!$B$2:$B$1002, $A54, Продажи!$E$2:$E$1002, "&lt;=" &amp; E$2, Продажи!$F$2:$F$1002, "&gt;" &amp; E$2)</f>
        <v>0</v>
      </c>
      <c r="F54" s="67">
        <f>COUNTIFS(Продажи!$B$2:$B$1002, $A54, Продажи!$E$2:$E$1002, "&lt;=" &amp; F$2, Продажи!$F$2:$F$1002, "&gt;" &amp; F$2)</f>
        <v>0</v>
      </c>
      <c r="G54" s="67">
        <f>COUNTIFS(Продажи!$B$2:$B$1002, $A54, Продажи!$E$2:$E$1002, "&lt;=" &amp; G$2, Продажи!$F$2:$F$1002, "&gt;" &amp; G$2)</f>
        <v>0</v>
      </c>
      <c r="H54" s="67">
        <f>COUNTIFS(Продажи!$B$2:$B$1002, $A54, Продажи!$E$2:$E$1002, "&lt;=" &amp; H$2, Продажи!$F$2:$F$1002, "&gt;" &amp; H$2)</f>
        <v>0</v>
      </c>
      <c r="I54" s="67">
        <f>COUNTIFS(Продажи!$B$2:$B$1002, $A54, Продажи!$E$2:$E$1002, "&lt;=" &amp; I$2, Продажи!$F$2:$F$1002, "&gt;" &amp; I$2)</f>
        <v>0</v>
      </c>
      <c r="J54" s="67">
        <f>COUNTIFS(Продажи!$B$2:$B$1002, $A54, Продажи!$E$2:$E$1002, "&lt;=" &amp; J$2, Продажи!$F$2:$F$1002, "&gt;" &amp; J$2)</f>
        <v>0</v>
      </c>
      <c r="K54" s="67">
        <f>COUNTIFS(Продажи!$B$2:$B$1002, $A54, Продажи!$E$2:$E$1002, "&lt;=" &amp; K$2, Продажи!$F$2:$F$1002, "&gt;" &amp; K$2)</f>
        <v>0</v>
      </c>
      <c r="L54" s="67">
        <f>COUNTIFS(Продажи!$B$2:$B$1002, $A54, Продажи!$E$2:$E$1002, "&lt;=" &amp; L$2, Продажи!$F$2:$F$1002, "&gt;" &amp; L$2)</f>
        <v>0</v>
      </c>
      <c r="M54" s="67">
        <f>COUNTIFS(Продажи!$B$2:$B$1002, $A54, Продажи!$E$2:$E$1002, "&lt;=" &amp; M$2, Продажи!$F$2:$F$1002, "&gt;" &amp; M$2)</f>
        <v>0</v>
      </c>
      <c r="N54" s="67">
        <f>COUNTIFS(Продажи!$B$2:$B$1002, $A54, Продажи!$E$2:$E$1002, "&lt;=" &amp; N$2, Продажи!$F$2:$F$1002, "&gt;" &amp; N$2)</f>
        <v>0</v>
      </c>
      <c r="O54" s="67">
        <f>COUNTIFS(Продажи!$B$2:$B$1002, $A54, Продажи!$E$2:$E$1002, "&lt;=" &amp; O$2, Продажи!$F$2:$F$1002, "&gt;" &amp; O$2)</f>
        <v>0</v>
      </c>
      <c r="P54" s="67">
        <f>COUNTIFS(Продажи!$B$2:$B$1002, $A54, Продажи!$E$2:$E$1002, "&lt;=" &amp; P$2, Продажи!$F$2:$F$1002, "&gt;" &amp; P$2)</f>
        <v>0</v>
      </c>
      <c r="Q54" s="67">
        <f>COUNTIFS(Продажи!$B$2:$B$1002, $A54, Продажи!$E$2:$E$1002, "&lt;=" &amp; Q$2, Продажи!$F$2:$F$1002, "&gt;" &amp; Q$2)</f>
        <v>0</v>
      </c>
      <c r="R54" s="67">
        <f>COUNTIFS(Продажи!$B$2:$B$1002, $A54, Продажи!$E$2:$E$1002, "&lt;=" &amp; R$2, Продажи!$F$2:$F$1002, "&gt;" &amp; R$2)</f>
        <v>0</v>
      </c>
      <c r="S54" s="67">
        <f>COUNTIFS(Продажи!$B$2:$B$1002, $A54, Продажи!$E$2:$E$1002, "&lt;=" &amp; S$2, Продажи!$F$2:$F$1002, "&gt;" &amp; S$2)</f>
        <v>0</v>
      </c>
      <c r="T54" s="67">
        <f>COUNTIFS(Продажи!$B$2:$B$1002, $A54, Продажи!$E$2:$E$1002, "&lt;=" &amp; T$2, Продажи!$F$2:$F$1002, "&gt;" &amp; T$2)</f>
        <v>0</v>
      </c>
      <c r="U54" s="67">
        <f>COUNTIFS(Продажи!$B$2:$B$1002, $A54, Продажи!$E$2:$E$1002, "&lt;=" &amp; U$2, Продажи!$F$2:$F$1002, "&gt;" &amp; U$2)</f>
        <v>0</v>
      </c>
      <c r="V54" s="67">
        <f>COUNTIFS(Продажи!$B$2:$B$1002, $A54, Продажи!$E$2:$E$1002, "&lt;=" &amp; V$2, Продажи!$F$2:$F$1002, "&gt;" &amp; V$2)</f>
        <v>0</v>
      </c>
      <c r="W54" s="67">
        <f>COUNTIFS(Продажи!$B$2:$B$1002, $A54, Продажи!$E$2:$E$1002, "&lt;=" &amp; W$2, Продажи!$F$2:$F$1002, "&gt;" &amp; W$2)</f>
        <v>0</v>
      </c>
      <c r="X54" s="67">
        <f>COUNTIFS(Продажи!$B$2:$B$1002, $A54, Продажи!$E$2:$E$1002, "&lt;=" &amp; X$2, Продажи!$F$2:$F$1002, "&gt;" &amp; X$2)</f>
        <v>0</v>
      </c>
      <c r="Y54" s="67">
        <f>COUNTIFS(Продажи!$B$2:$B$1002, $A54, Продажи!$E$2:$E$1002, "&lt;=" &amp; Y$2, Продажи!$F$2:$F$1002, "&gt;" &amp; Y$2)</f>
        <v>0</v>
      </c>
      <c r="Z54" s="67">
        <f>COUNTIFS(Продажи!$B$2:$B$1002, $A54, Продажи!$E$2:$E$1002, "&lt;=" &amp; Z$2, Продажи!$F$2:$F$1002, "&gt;" &amp; Z$2)</f>
        <v>0</v>
      </c>
      <c r="AA54" s="67">
        <f>COUNTIFS(Продажи!$B$2:$B$1002, $A54, Продажи!$E$2:$E$1002, "&lt;=" &amp; AA$2, Продажи!$F$2:$F$1002, "&gt;" &amp; AA$2)</f>
        <v>0</v>
      </c>
      <c r="AB54" s="67">
        <f>COUNTIFS(Продажи!$B$2:$B$1002, $A54, Продажи!$E$2:$E$1002, "&lt;=" &amp; AB$2, Продажи!$F$2:$F$1002, "&gt;" &amp; AB$2)</f>
        <v>0</v>
      </c>
      <c r="AC54" s="67">
        <f>COUNTIFS(Продажи!$B$2:$B$1002, $A54, Продажи!$E$2:$E$1002, "&lt;=" &amp; AC$2, Продажи!$F$2:$F$1002, "&gt;" &amp; AC$2)</f>
        <v>0</v>
      </c>
      <c r="AD54" s="67">
        <f>COUNTIFS(Продажи!$B$2:$B$1002, $A54, Продажи!$E$2:$E$1002, "&lt;=" &amp; AD$2, Продажи!$F$2:$F$1002, "&gt;" &amp; AD$2)</f>
        <v>0</v>
      </c>
      <c r="AE54" s="67">
        <f t="shared" si="0"/>
        <v>0</v>
      </c>
      <c r="AF54" s="64" t="str">
        <f ca="1">IF(SUM(OFFSET($B54,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54" s="98">
        <f>VLOOKUP(A54,ID_купе[],2,0)</f>
        <v>2</v>
      </c>
      <c r="AH54" s="132" t="str">
        <f t="shared" ca="1" si="1"/>
        <v>Частично</v>
      </c>
    </row>
    <row r="55" spans="1:34" x14ac:dyDescent="0.25">
      <c r="A55" s="68">
        <v>53</v>
      </c>
      <c r="B55" s="67">
        <f>COUNTIFS(Продажи!$B$2:$B$1002, $A55, Продажи!$E$2:$E$1002, "&lt;=" &amp; B$2, Продажи!$F$2:$F$1002, "&gt;" &amp; B$2)</f>
        <v>0</v>
      </c>
      <c r="C55" s="67">
        <f>COUNTIFS(Продажи!$B$2:$B$1002, $A55, Продажи!$E$2:$E$1002, "&lt;=" &amp; C$2, Продажи!$F$2:$F$1002, "&gt;" &amp; C$2)</f>
        <v>0</v>
      </c>
      <c r="D55" s="67">
        <f>COUNTIFS(Продажи!$B$2:$B$1002, $A55, Продажи!$E$2:$E$1002, "&lt;=" &amp; D$2, Продажи!$F$2:$F$1002, "&gt;" &amp; D$2)</f>
        <v>0</v>
      </c>
      <c r="E55" s="67">
        <f>COUNTIFS(Продажи!$B$2:$B$1002, $A55, Продажи!$E$2:$E$1002, "&lt;=" &amp; E$2, Продажи!$F$2:$F$1002, "&gt;" &amp; E$2)</f>
        <v>0</v>
      </c>
      <c r="F55" s="67">
        <f>COUNTIFS(Продажи!$B$2:$B$1002, $A55, Продажи!$E$2:$E$1002, "&lt;=" &amp; F$2, Продажи!$F$2:$F$1002, "&gt;" &amp; F$2)</f>
        <v>0</v>
      </c>
      <c r="G55" s="67">
        <f>COUNTIFS(Продажи!$B$2:$B$1002, $A55, Продажи!$E$2:$E$1002, "&lt;=" &amp; G$2, Продажи!$F$2:$F$1002, "&gt;" &amp; G$2)</f>
        <v>0</v>
      </c>
      <c r="H55" s="67">
        <f>COUNTIFS(Продажи!$B$2:$B$1002, $A55, Продажи!$E$2:$E$1002, "&lt;=" &amp; H$2, Продажи!$F$2:$F$1002, "&gt;" &amp; H$2)</f>
        <v>0</v>
      </c>
      <c r="I55" s="67">
        <f>COUNTIFS(Продажи!$B$2:$B$1002, $A55, Продажи!$E$2:$E$1002, "&lt;=" &amp; I$2, Продажи!$F$2:$F$1002, "&gt;" &amp; I$2)</f>
        <v>0</v>
      </c>
      <c r="J55" s="67">
        <f>COUNTIFS(Продажи!$B$2:$B$1002, $A55, Продажи!$E$2:$E$1002, "&lt;=" &amp; J$2, Продажи!$F$2:$F$1002, "&gt;" &amp; J$2)</f>
        <v>0</v>
      </c>
      <c r="K55" s="67">
        <f>COUNTIFS(Продажи!$B$2:$B$1002, $A55, Продажи!$E$2:$E$1002, "&lt;=" &amp; K$2, Продажи!$F$2:$F$1002, "&gt;" &amp; K$2)</f>
        <v>0</v>
      </c>
      <c r="L55" s="67">
        <f>COUNTIFS(Продажи!$B$2:$B$1002, $A55, Продажи!$E$2:$E$1002, "&lt;=" &amp; L$2, Продажи!$F$2:$F$1002, "&gt;" &amp; L$2)</f>
        <v>0</v>
      </c>
      <c r="M55" s="67">
        <f>COUNTIFS(Продажи!$B$2:$B$1002, $A55, Продажи!$E$2:$E$1002, "&lt;=" &amp; M$2, Продажи!$F$2:$F$1002, "&gt;" &amp; M$2)</f>
        <v>0</v>
      </c>
      <c r="N55" s="67">
        <f>COUNTIFS(Продажи!$B$2:$B$1002, $A55, Продажи!$E$2:$E$1002, "&lt;=" &amp; N$2, Продажи!$F$2:$F$1002, "&gt;" &amp; N$2)</f>
        <v>0</v>
      </c>
      <c r="O55" s="67">
        <f>COUNTIFS(Продажи!$B$2:$B$1002, $A55, Продажи!$E$2:$E$1002, "&lt;=" &amp; O$2, Продажи!$F$2:$F$1002, "&gt;" &amp; O$2)</f>
        <v>0</v>
      </c>
      <c r="P55" s="67">
        <f>COUNTIFS(Продажи!$B$2:$B$1002, $A55, Продажи!$E$2:$E$1002, "&lt;=" &amp; P$2, Продажи!$F$2:$F$1002, "&gt;" &amp; P$2)</f>
        <v>0</v>
      </c>
      <c r="Q55" s="67">
        <f>COUNTIFS(Продажи!$B$2:$B$1002, $A55, Продажи!$E$2:$E$1002, "&lt;=" &amp; Q$2, Продажи!$F$2:$F$1002, "&gt;" &amp; Q$2)</f>
        <v>0</v>
      </c>
      <c r="R55" s="67">
        <f>COUNTIFS(Продажи!$B$2:$B$1002, $A55, Продажи!$E$2:$E$1002, "&lt;=" &amp; R$2, Продажи!$F$2:$F$1002, "&gt;" &amp; R$2)</f>
        <v>0</v>
      </c>
      <c r="S55" s="67">
        <f>COUNTIFS(Продажи!$B$2:$B$1002, $A55, Продажи!$E$2:$E$1002, "&lt;=" &amp; S$2, Продажи!$F$2:$F$1002, "&gt;" &amp; S$2)</f>
        <v>0</v>
      </c>
      <c r="T55" s="67">
        <f>COUNTIFS(Продажи!$B$2:$B$1002, $A55, Продажи!$E$2:$E$1002, "&lt;=" &amp; T$2, Продажи!$F$2:$F$1002, "&gt;" &amp; T$2)</f>
        <v>0</v>
      </c>
      <c r="U55" s="67">
        <f>COUNTIFS(Продажи!$B$2:$B$1002, $A55, Продажи!$E$2:$E$1002, "&lt;=" &amp; U$2, Продажи!$F$2:$F$1002, "&gt;" &amp; U$2)</f>
        <v>0</v>
      </c>
      <c r="V55" s="67">
        <f>COUNTIFS(Продажи!$B$2:$B$1002, $A55, Продажи!$E$2:$E$1002, "&lt;=" &amp; V$2, Продажи!$F$2:$F$1002, "&gt;" &amp; V$2)</f>
        <v>0</v>
      </c>
      <c r="W55" s="67">
        <f>COUNTIFS(Продажи!$B$2:$B$1002, $A55, Продажи!$E$2:$E$1002, "&lt;=" &amp; W$2, Продажи!$F$2:$F$1002, "&gt;" &amp; W$2)</f>
        <v>0</v>
      </c>
      <c r="X55" s="67">
        <f>COUNTIFS(Продажи!$B$2:$B$1002, $A55, Продажи!$E$2:$E$1002, "&lt;=" &amp; X$2, Продажи!$F$2:$F$1002, "&gt;" &amp; X$2)</f>
        <v>0</v>
      </c>
      <c r="Y55" s="67">
        <f>COUNTIFS(Продажи!$B$2:$B$1002, $A55, Продажи!$E$2:$E$1002, "&lt;=" &amp; Y$2, Продажи!$F$2:$F$1002, "&gt;" &amp; Y$2)</f>
        <v>0</v>
      </c>
      <c r="Z55" s="67">
        <f>COUNTIFS(Продажи!$B$2:$B$1002, $A55, Продажи!$E$2:$E$1002, "&lt;=" &amp; Z$2, Продажи!$F$2:$F$1002, "&gt;" &amp; Z$2)</f>
        <v>0</v>
      </c>
      <c r="AA55" s="67">
        <f>COUNTIFS(Продажи!$B$2:$B$1002, $A55, Продажи!$E$2:$E$1002, "&lt;=" &amp; AA$2, Продажи!$F$2:$F$1002, "&gt;" &amp; AA$2)</f>
        <v>0</v>
      </c>
      <c r="AB55" s="67">
        <f>COUNTIFS(Продажи!$B$2:$B$1002, $A55, Продажи!$E$2:$E$1002, "&lt;=" &amp; AB$2, Продажи!$F$2:$F$1002, "&gt;" &amp; AB$2)</f>
        <v>0</v>
      </c>
      <c r="AC55" s="67">
        <f>COUNTIFS(Продажи!$B$2:$B$1002, $A55, Продажи!$E$2:$E$1002, "&lt;=" &amp; AC$2, Продажи!$F$2:$F$1002, "&gt;" &amp; AC$2)</f>
        <v>0</v>
      </c>
      <c r="AD55" s="67">
        <f>COUNTIFS(Продажи!$B$2:$B$1002, $A55, Продажи!$E$2:$E$1002, "&lt;=" &amp; AD$2, Продажи!$F$2:$F$1002, "&gt;" &amp; AD$2)</f>
        <v>0</v>
      </c>
      <c r="AE55" s="67">
        <f t="shared" si="0"/>
        <v>0</v>
      </c>
      <c r="AF55" s="64" t="str">
        <f ca="1">IF(SUM(OFFSET($B55,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55" s="98">
        <f>VLOOKUP(A55,ID_купе[],2,0)</f>
        <v>1</v>
      </c>
      <c r="AH55" s="132" t="str">
        <f t="shared" ca="1" si="1"/>
        <v>Частично</v>
      </c>
    </row>
    <row r="56" spans="1:34" x14ac:dyDescent="0.25">
      <c r="A56" s="68">
        <v>54</v>
      </c>
      <c r="B56" s="67">
        <f>COUNTIFS(Продажи!$B$2:$B$1002, $A56, Продажи!$E$2:$E$1002, "&lt;=" &amp; B$2, Продажи!$F$2:$F$1002, "&gt;" &amp; B$2)</f>
        <v>0</v>
      </c>
      <c r="C56" s="67">
        <f>COUNTIFS(Продажи!$B$2:$B$1002, $A56, Продажи!$E$2:$E$1002, "&lt;=" &amp; C$2, Продажи!$F$2:$F$1002, "&gt;" &amp; C$2)</f>
        <v>0</v>
      </c>
      <c r="D56" s="67">
        <f>COUNTIFS(Продажи!$B$2:$B$1002, $A56, Продажи!$E$2:$E$1002, "&lt;=" &amp; D$2, Продажи!$F$2:$F$1002, "&gt;" &amp; D$2)</f>
        <v>0</v>
      </c>
      <c r="E56" s="67">
        <f>COUNTIFS(Продажи!$B$2:$B$1002, $A56, Продажи!$E$2:$E$1002, "&lt;=" &amp; E$2, Продажи!$F$2:$F$1002, "&gt;" &amp; E$2)</f>
        <v>0</v>
      </c>
      <c r="F56" s="67">
        <f>COUNTIFS(Продажи!$B$2:$B$1002, $A56, Продажи!$E$2:$E$1002, "&lt;=" &amp; F$2, Продажи!$F$2:$F$1002, "&gt;" &amp; F$2)</f>
        <v>0</v>
      </c>
      <c r="G56" s="67">
        <f>COUNTIFS(Продажи!$B$2:$B$1002, $A56, Продажи!$E$2:$E$1002, "&lt;=" &amp; G$2, Продажи!$F$2:$F$1002, "&gt;" &amp; G$2)</f>
        <v>0</v>
      </c>
      <c r="H56" s="67">
        <f>COUNTIFS(Продажи!$B$2:$B$1002, $A56, Продажи!$E$2:$E$1002, "&lt;=" &amp; H$2, Продажи!$F$2:$F$1002, "&gt;" &amp; H$2)</f>
        <v>0</v>
      </c>
      <c r="I56" s="67">
        <f>COUNTIFS(Продажи!$B$2:$B$1002, $A56, Продажи!$E$2:$E$1002, "&lt;=" &amp; I$2, Продажи!$F$2:$F$1002, "&gt;" &amp; I$2)</f>
        <v>0</v>
      </c>
      <c r="J56" s="67">
        <f>COUNTIFS(Продажи!$B$2:$B$1002, $A56, Продажи!$E$2:$E$1002, "&lt;=" &amp; J$2, Продажи!$F$2:$F$1002, "&gt;" &amp; J$2)</f>
        <v>0</v>
      </c>
      <c r="K56" s="67">
        <f>COUNTIFS(Продажи!$B$2:$B$1002, $A56, Продажи!$E$2:$E$1002, "&lt;=" &amp; K$2, Продажи!$F$2:$F$1002, "&gt;" &amp; K$2)</f>
        <v>0</v>
      </c>
      <c r="L56" s="67">
        <f>COUNTIFS(Продажи!$B$2:$B$1002, $A56, Продажи!$E$2:$E$1002, "&lt;=" &amp; L$2, Продажи!$F$2:$F$1002, "&gt;" &amp; L$2)</f>
        <v>0</v>
      </c>
      <c r="M56" s="67">
        <f>COUNTIFS(Продажи!$B$2:$B$1002, $A56, Продажи!$E$2:$E$1002, "&lt;=" &amp; M$2, Продажи!$F$2:$F$1002, "&gt;" &amp; M$2)</f>
        <v>0</v>
      </c>
      <c r="N56" s="67">
        <f>COUNTIFS(Продажи!$B$2:$B$1002, $A56, Продажи!$E$2:$E$1002, "&lt;=" &amp; N$2, Продажи!$F$2:$F$1002, "&gt;" &amp; N$2)</f>
        <v>0</v>
      </c>
      <c r="O56" s="67">
        <f>COUNTIFS(Продажи!$B$2:$B$1002, $A56, Продажи!$E$2:$E$1002, "&lt;=" &amp; O$2, Продажи!$F$2:$F$1002, "&gt;" &amp; O$2)</f>
        <v>0</v>
      </c>
      <c r="P56" s="67">
        <f>COUNTIFS(Продажи!$B$2:$B$1002, $A56, Продажи!$E$2:$E$1002, "&lt;=" &amp; P$2, Продажи!$F$2:$F$1002, "&gt;" &amp; P$2)</f>
        <v>0</v>
      </c>
      <c r="Q56" s="67">
        <f>COUNTIFS(Продажи!$B$2:$B$1002, $A56, Продажи!$E$2:$E$1002, "&lt;=" &amp; Q$2, Продажи!$F$2:$F$1002, "&gt;" &amp; Q$2)</f>
        <v>0</v>
      </c>
      <c r="R56" s="67">
        <f>COUNTIFS(Продажи!$B$2:$B$1002, $A56, Продажи!$E$2:$E$1002, "&lt;=" &amp; R$2, Продажи!$F$2:$F$1002, "&gt;" &amp; R$2)</f>
        <v>0</v>
      </c>
      <c r="S56" s="67">
        <f>COUNTIFS(Продажи!$B$2:$B$1002, $A56, Продажи!$E$2:$E$1002, "&lt;=" &amp; S$2, Продажи!$F$2:$F$1002, "&gt;" &amp; S$2)</f>
        <v>0</v>
      </c>
      <c r="T56" s="67">
        <f>COUNTIFS(Продажи!$B$2:$B$1002, $A56, Продажи!$E$2:$E$1002, "&lt;=" &amp; T$2, Продажи!$F$2:$F$1002, "&gt;" &amp; T$2)</f>
        <v>0</v>
      </c>
      <c r="U56" s="67">
        <f>COUNTIFS(Продажи!$B$2:$B$1002, $A56, Продажи!$E$2:$E$1002, "&lt;=" &amp; U$2, Продажи!$F$2:$F$1002, "&gt;" &amp; U$2)</f>
        <v>0</v>
      </c>
      <c r="V56" s="67">
        <f>COUNTIFS(Продажи!$B$2:$B$1002, $A56, Продажи!$E$2:$E$1002, "&lt;=" &amp; V$2, Продажи!$F$2:$F$1002, "&gt;" &amp; V$2)</f>
        <v>0</v>
      </c>
      <c r="W56" s="67">
        <f>COUNTIFS(Продажи!$B$2:$B$1002, $A56, Продажи!$E$2:$E$1002, "&lt;=" &amp; W$2, Продажи!$F$2:$F$1002, "&gt;" &amp; W$2)</f>
        <v>0</v>
      </c>
      <c r="X56" s="67">
        <f>COUNTIFS(Продажи!$B$2:$B$1002, $A56, Продажи!$E$2:$E$1002, "&lt;=" &amp; X$2, Продажи!$F$2:$F$1002, "&gt;" &amp; X$2)</f>
        <v>0</v>
      </c>
      <c r="Y56" s="67">
        <f>COUNTIFS(Продажи!$B$2:$B$1002, $A56, Продажи!$E$2:$E$1002, "&lt;=" &amp; Y$2, Продажи!$F$2:$F$1002, "&gt;" &amp; Y$2)</f>
        <v>0</v>
      </c>
      <c r="Z56" s="67">
        <f>COUNTIFS(Продажи!$B$2:$B$1002, $A56, Продажи!$E$2:$E$1002, "&lt;=" &amp; Z$2, Продажи!$F$2:$F$1002, "&gt;" &amp; Z$2)</f>
        <v>0</v>
      </c>
      <c r="AA56" s="67">
        <f>COUNTIFS(Продажи!$B$2:$B$1002, $A56, Продажи!$E$2:$E$1002, "&lt;=" &amp; AA$2, Продажи!$F$2:$F$1002, "&gt;" &amp; AA$2)</f>
        <v>0</v>
      </c>
      <c r="AB56" s="67">
        <f>COUNTIFS(Продажи!$B$2:$B$1002, $A56, Продажи!$E$2:$E$1002, "&lt;=" &amp; AB$2, Продажи!$F$2:$F$1002, "&gt;" &amp; AB$2)</f>
        <v>0</v>
      </c>
      <c r="AC56" s="67">
        <f>COUNTIFS(Продажи!$B$2:$B$1002, $A56, Продажи!$E$2:$E$1002, "&lt;=" &amp; AC$2, Продажи!$F$2:$F$1002, "&gt;" &amp; AC$2)</f>
        <v>0</v>
      </c>
      <c r="AD56" s="67">
        <f>COUNTIFS(Продажи!$B$2:$B$1002, $A56, Продажи!$E$2:$E$1002, "&lt;=" &amp; AD$2, Продажи!$F$2:$F$1002, "&gt;" &amp; AD$2)</f>
        <v>0</v>
      </c>
      <c r="AE56" s="67">
        <f t="shared" si="0"/>
        <v>0</v>
      </c>
      <c r="AF56" s="64" t="str">
        <f ca="1">IF(SUM(OFFSET($B56, 0, VLOOKUP("Станция отправления",Продажи!$R$2:$T$31,3,0)-1, 1, VLOOKUP("Станция прибытия",Продажи!$R$2:$T$31,3,0)-VLOOKUP("Станция отправления",Продажи!$R$2:$T$31,3,0)))=0, "Свободно", "Мест нет")</f>
        <v>Свободно</v>
      </c>
      <c r="AG56" s="98">
        <f>VLOOKUP(A56,ID_купе[],2,0)</f>
        <v>1</v>
      </c>
      <c r="AH56" s="132" t="str">
        <f t="shared" ca="1" si="1"/>
        <v>Частично</v>
      </c>
    </row>
    <row r="57" spans="1:34" ht="20.25" customHeight="1" x14ac:dyDescent="0.25">
      <c r="B57" s="67">
        <f>SUM(B3:B56)</f>
        <v>12</v>
      </c>
      <c r="C57" s="67">
        <f t="shared" ref="C57:AD57" si="2">SUM(C3:C56)</f>
        <v>13</v>
      </c>
      <c r="D57" s="67">
        <f t="shared" si="2"/>
        <v>13</v>
      </c>
      <c r="E57" s="67">
        <f t="shared" si="2"/>
        <v>15</v>
      </c>
      <c r="F57" s="67">
        <f t="shared" si="2"/>
        <v>15</v>
      </c>
      <c r="G57" s="67">
        <f t="shared" si="2"/>
        <v>15</v>
      </c>
      <c r="H57" s="67">
        <f t="shared" si="2"/>
        <v>14</v>
      </c>
      <c r="I57" s="67">
        <f t="shared" si="2"/>
        <v>14</v>
      </c>
      <c r="J57" s="67">
        <f t="shared" si="2"/>
        <v>14</v>
      </c>
      <c r="K57" s="67">
        <f t="shared" si="2"/>
        <v>14</v>
      </c>
      <c r="L57" s="67">
        <f t="shared" si="2"/>
        <v>14</v>
      </c>
      <c r="M57" s="67">
        <f t="shared" si="2"/>
        <v>14</v>
      </c>
      <c r="N57" s="67">
        <f t="shared" si="2"/>
        <v>14</v>
      </c>
      <c r="O57" s="67">
        <f t="shared" si="2"/>
        <v>14</v>
      </c>
      <c r="P57" s="67">
        <f t="shared" si="2"/>
        <v>13</v>
      </c>
      <c r="Q57" s="67">
        <f t="shared" si="2"/>
        <v>13</v>
      </c>
      <c r="R57" s="67">
        <f t="shared" si="2"/>
        <v>13</v>
      </c>
      <c r="S57" s="67">
        <f t="shared" si="2"/>
        <v>12</v>
      </c>
      <c r="T57" s="67">
        <f t="shared" si="2"/>
        <v>12</v>
      </c>
      <c r="U57" s="67">
        <f t="shared" si="2"/>
        <v>12</v>
      </c>
      <c r="V57" s="67">
        <f t="shared" si="2"/>
        <v>12</v>
      </c>
      <c r="W57" s="67">
        <f t="shared" si="2"/>
        <v>12</v>
      </c>
      <c r="X57" s="67">
        <f t="shared" si="2"/>
        <v>11</v>
      </c>
      <c r="Y57" s="67">
        <f t="shared" si="2"/>
        <v>10</v>
      </c>
      <c r="Z57" s="67">
        <f t="shared" si="2"/>
        <v>10</v>
      </c>
      <c r="AA57" s="67">
        <f t="shared" si="2"/>
        <v>10</v>
      </c>
      <c r="AB57" s="67">
        <f t="shared" si="2"/>
        <v>11</v>
      </c>
      <c r="AC57" s="67">
        <f t="shared" si="2"/>
        <v>10</v>
      </c>
      <c r="AD57" s="67">
        <f t="shared" si="2"/>
        <v>10</v>
      </c>
      <c r="AE57" s="69"/>
    </row>
  </sheetData>
  <mergeCells count="2">
    <mergeCell ref="AM5:AN5"/>
    <mergeCell ref="AM6:AN6"/>
  </mergeCells>
  <conditionalFormatting sqref="AF3:AF56">
    <cfRule type="cellIs" dxfId="6" priority="4" operator="equal">
      <formula>"Свободно"</formula>
    </cfRule>
    <cfRule type="cellIs" dxfId="5" priority="5" operator="equal">
      <formula>"Мест нет"</formula>
    </cfRule>
  </conditionalFormatting>
  <conditionalFormatting sqref="B57:AE5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AD56">
    <cfRule type="cellIs" dxfId="4" priority="6" operator="greaterThan">
      <formula>1</formula>
    </cfRule>
    <cfRule type="cellIs" dxfId="3" priority="7" operator="equal">
      <formula>0</formula>
    </cfRule>
    <cfRule type="cellIs" dxfId="2" priority="8" operator="greaterThan">
      <formula>0</formula>
    </cfRule>
  </conditionalFormatting>
  <conditionalFormatting sqref="AE3:AE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35C8-2C21-4AE9-BCF7-599999CE1C01}">
  <sheetPr>
    <tabColor rgb="FFFFC000"/>
  </sheetPr>
  <dimension ref="A1:R55"/>
  <sheetViews>
    <sheetView zoomScale="115" zoomScaleNormal="115" workbookViewId="0">
      <selection activeCell="P59" sqref="P59"/>
    </sheetView>
  </sheetViews>
  <sheetFormatPr defaultRowHeight="15" x14ac:dyDescent="0.25"/>
  <cols>
    <col min="1" max="1" width="7.85546875" customWidth="1"/>
    <col min="2" max="2" width="21.5703125" customWidth="1"/>
    <col min="3" max="4" width="24.42578125" customWidth="1"/>
    <col min="5" max="5" width="16.28515625" customWidth="1"/>
    <col min="6" max="6" width="18.140625" customWidth="1"/>
    <col min="7" max="7" width="19.7109375" customWidth="1"/>
    <col min="8" max="8" width="4.5703125" customWidth="1"/>
    <col min="9" max="9" width="10.28515625" customWidth="1"/>
    <col min="10" max="10" width="9.28515625" customWidth="1"/>
    <col min="11" max="11" width="5.28515625" customWidth="1"/>
    <col min="12" max="12" width="36.42578125" customWidth="1"/>
    <col min="13" max="13" width="12.85546875" customWidth="1"/>
    <col min="14" max="14" width="4.42578125" customWidth="1"/>
    <col min="15" max="15" width="5" customWidth="1"/>
    <col min="16" max="16" width="27.7109375" customWidth="1"/>
    <col min="17" max="17" width="15" customWidth="1"/>
    <col min="18" max="18" width="65.5703125" customWidth="1"/>
    <col min="19" max="19" width="16.42578125" customWidth="1"/>
    <col min="20" max="20" width="11.140625" customWidth="1"/>
  </cols>
  <sheetData>
    <row r="1" spans="1:18" x14ac:dyDescent="0.25">
      <c r="A1" s="12" t="s">
        <v>54</v>
      </c>
      <c r="B1" s="13" t="s">
        <v>14</v>
      </c>
      <c r="C1" s="13" t="s">
        <v>15</v>
      </c>
      <c r="D1" s="13" t="s">
        <v>47</v>
      </c>
      <c r="E1" s="13" t="s">
        <v>16</v>
      </c>
      <c r="F1" s="13" t="s">
        <v>17</v>
      </c>
      <c r="G1" s="14" t="s">
        <v>13</v>
      </c>
      <c r="I1" s="93" t="s">
        <v>119</v>
      </c>
      <c r="J1" s="94" t="s">
        <v>134</v>
      </c>
      <c r="L1" s="51" t="s">
        <v>60</v>
      </c>
      <c r="M1" s="52" t="s">
        <v>61</v>
      </c>
      <c r="N1" s="2"/>
      <c r="O1" s="2"/>
      <c r="P1" s="51" t="s">
        <v>90</v>
      </c>
      <c r="Q1" s="52" t="s">
        <v>91</v>
      </c>
      <c r="R1" s="53" t="s">
        <v>12</v>
      </c>
    </row>
    <row r="2" spans="1:18" x14ac:dyDescent="0.25">
      <c r="A2" s="65">
        <v>1</v>
      </c>
      <c r="B2" s="9" t="s">
        <v>18</v>
      </c>
      <c r="C2" s="19">
        <v>0</v>
      </c>
      <c r="D2" s="19">
        <v>0</v>
      </c>
      <c r="E2" s="19">
        <v>0</v>
      </c>
      <c r="F2" s="19">
        <v>0</v>
      </c>
      <c r="G2" s="11" t="s">
        <v>19</v>
      </c>
      <c r="I2" s="95">
        <v>1</v>
      </c>
      <c r="J2" s="91">
        <v>1</v>
      </c>
      <c r="L2" s="3" t="s">
        <v>57</v>
      </c>
      <c r="M2" s="7">
        <v>250</v>
      </c>
      <c r="P2" s="1" t="s">
        <v>83</v>
      </c>
      <c r="Q2" s="1">
        <v>800</v>
      </c>
      <c r="R2" s="1"/>
    </row>
    <row r="3" spans="1:18" x14ac:dyDescent="0.25">
      <c r="A3" s="65">
        <v>2</v>
      </c>
      <c r="B3" s="8" t="s">
        <v>20</v>
      </c>
      <c r="C3" s="19">
        <v>198</v>
      </c>
      <c r="D3" s="19">
        <f>Справочник_станций_и_сборов[[#This Row],[Расстояние от Мск (км)]]-C2</f>
        <v>198</v>
      </c>
      <c r="E3" s="19">
        <v>0</v>
      </c>
      <c r="F3" s="19">
        <v>0</v>
      </c>
      <c r="G3" s="11"/>
      <c r="I3" s="95">
        <v>2</v>
      </c>
      <c r="J3" s="91">
        <v>1</v>
      </c>
      <c r="L3" s="3" t="s">
        <v>58</v>
      </c>
      <c r="M3" s="7">
        <v>30000</v>
      </c>
      <c r="P3" s="1" t="s">
        <v>84</v>
      </c>
      <c r="Q3" s="1">
        <v>3.5</v>
      </c>
      <c r="R3" s="1"/>
    </row>
    <row r="4" spans="1:18" x14ac:dyDescent="0.25">
      <c r="A4" s="65">
        <v>3</v>
      </c>
      <c r="B4" s="8" t="s">
        <v>21</v>
      </c>
      <c r="C4" s="19">
        <v>314</v>
      </c>
      <c r="D4" s="19">
        <f>Справочник_станций_и_сборов[[#This Row],[Расстояние от Мск (км)]]-C3</f>
        <v>116</v>
      </c>
      <c r="E4" s="19">
        <v>0</v>
      </c>
      <c r="F4" s="19">
        <v>0</v>
      </c>
      <c r="G4" s="11"/>
      <c r="I4" s="95">
        <v>3</v>
      </c>
      <c r="J4" s="91">
        <v>1</v>
      </c>
      <c r="L4" s="3" t="s">
        <v>55</v>
      </c>
      <c r="M4" s="7">
        <v>4000</v>
      </c>
      <c r="P4" s="1" t="s">
        <v>85</v>
      </c>
      <c r="Q4" s="1">
        <v>250</v>
      </c>
      <c r="R4" s="1"/>
    </row>
    <row r="5" spans="1:18" x14ac:dyDescent="0.25">
      <c r="A5" s="65">
        <v>4</v>
      </c>
      <c r="B5" s="8" t="s">
        <v>22</v>
      </c>
      <c r="C5" s="19">
        <v>410</v>
      </c>
      <c r="D5" s="19">
        <f>Справочник_станций_и_сборов[[#This Row],[Расстояние от Мск (км)]]-C4</f>
        <v>96</v>
      </c>
      <c r="E5" s="19">
        <v>1500</v>
      </c>
      <c r="F5" s="19">
        <v>0</v>
      </c>
      <c r="G5" s="11" t="s">
        <v>23</v>
      </c>
      <c r="I5" s="95">
        <v>4</v>
      </c>
      <c r="J5" s="91">
        <v>1</v>
      </c>
      <c r="L5" s="3" t="s">
        <v>56</v>
      </c>
      <c r="M5" s="7">
        <v>2000</v>
      </c>
      <c r="P5" s="1" t="s">
        <v>92</v>
      </c>
      <c r="Q5" s="1">
        <v>150</v>
      </c>
      <c r="R5" s="1"/>
    </row>
    <row r="6" spans="1:18" x14ac:dyDescent="0.25">
      <c r="A6" s="65">
        <v>5</v>
      </c>
      <c r="B6" s="8" t="s">
        <v>24</v>
      </c>
      <c r="C6" s="19">
        <v>471</v>
      </c>
      <c r="D6" s="19">
        <f>Справочник_станций_и_сборов[[#This Row],[Расстояние от Мск (км)]]-C5</f>
        <v>61</v>
      </c>
      <c r="E6" s="19">
        <v>0</v>
      </c>
      <c r="F6" s="19">
        <v>0</v>
      </c>
      <c r="G6" s="11"/>
      <c r="I6" s="95">
        <v>5</v>
      </c>
      <c r="J6" s="91">
        <v>2</v>
      </c>
      <c r="L6" s="4" t="s">
        <v>59</v>
      </c>
      <c r="M6" s="5">
        <v>15</v>
      </c>
    </row>
    <row r="7" spans="1:18" x14ac:dyDescent="0.25">
      <c r="A7" s="65">
        <v>6</v>
      </c>
      <c r="B7" s="9" t="s">
        <v>25</v>
      </c>
      <c r="C7" s="19">
        <v>589</v>
      </c>
      <c r="D7" s="19">
        <f>Справочник_станций_и_сборов[[#This Row],[Расстояние от Мск (км)]]-C6</f>
        <v>118</v>
      </c>
      <c r="E7" s="19">
        <v>1200</v>
      </c>
      <c r="F7" s="19">
        <v>1000</v>
      </c>
      <c r="G7" s="11" t="s">
        <v>26</v>
      </c>
      <c r="I7" s="95">
        <v>6</v>
      </c>
      <c r="J7" s="91">
        <v>2</v>
      </c>
      <c r="P7" s="59" t="s">
        <v>90</v>
      </c>
      <c r="Q7" s="60" t="s">
        <v>91</v>
      </c>
      <c r="R7" s="60" t="s">
        <v>12</v>
      </c>
    </row>
    <row r="8" spans="1:18" x14ac:dyDescent="0.25">
      <c r="A8" s="65">
        <v>7</v>
      </c>
      <c r="B8" s="8" t="s">
        <v>27</v>
      </c>
      <c r="C8" s="19">
        <v>687</v>
      </c>
      <c r="D8" s="19">
        <f>Справочник_станций_и_сборов[[#This Row],[Расстояние от Мск (км)]]-C7</f>
        <v>98</v>
      </c>
      <c r="E8" s="19">
        <v>0</v>
      </c>
      <c r="F8" s="19">
        <v>0</v>
      </c>
      <c r="G8" s="11"/>
      <c r="I8" s="95">
        <v>7</v>
      </c>
      <c r="J8" s="91">
        <v>2</v>
      </c>
      <c r="L8" s="130" t="s">
        <v>116</v>
      </c>
      <c r="P8" s="6" t="s">
        <v>11</v>
      </c>
      <c r="Q8" s="54">
        <v>0</v>
      </c>
      <c r="R8" s="57"/>
    </row>
    <row r="9" spans="1:18" x14ac:dyDescent="0.25">
      <c r="A9" s="65">
        <v>8</v>
      </c>
      <c r="B9" s="8" t="s">
        <v>28</v>
      </c>
      <c r="C9" s="19">
        <v>715</v>
      </c>
      <c r="D9" s="19">
        <f>Справочник_станций_и_сборов[[#This Row],[Расстояние от Мск (км)]]-C8</f>
        <v>28</v>
      </c>
      <c r="E9" s="19">
        <v>0</v>
      </c>
      <c r="F9" s="19">
        <v>0</v>
      </c>
      <c r="G9" s="11"/>
      <c r="I9" s="95">
        <v>8</v>
      </c>
      <c r="J9" s="91">
        <v>2</v>
      </c>
      <c r="L9" s="131" t="s">
        <v>117</v>
      </c>
      <c r="P9" s="24" t="s">
        <v>108</v>
      </c>
      <c r="Q9" s="55">
        <v>0.35</v>
      </c>
      <c r="R9" s="58" t="s">
        <v>109</v>
      </c>
    </row>
    <row r="10" spans="1:18" x14ac:dyDescent="0.25">
      <c r="A10" s="65">
        <v>9</v>
      </c>
      <c r="B10" s="8" t="s">
        <v>29</v>
      </c>
      <c r="C10" s="19">
        <v>745</v>
      </c>
      <c r="D10" s="19">
        <f>Справочник_станций_и_сборов[[#This Row],[Расстояние от Мск (км)]]-C9</f>
        <v>30</v>
      </c>
      <c r="E10" s="19">
        <v>0</v>
      </c>
      <c r="F10" s="19">
        <v>0</v>
      </c>
      <c r="G10" s="11"/>
      <c r="I10" s="95">
        <v>9</v>
      </c>
      <c r="J10" s="91">
        <v>3</v>
      </c>
      <c r="L10" s="130"/>
      <c r="P10" s="56" t="s">
        <v>111</v>
      </c>
      <c r="Q10" s="54">
        <v>1</v>
      </c>
      <c r="R10" s="57" t="s">
        <v>110</v>
      </c>
    </row>
    <row r="11" spans="1:18" x14ac:dyDescent="0.25">
      <c r="A11" s="65">
        <v>10</v>
      </c>
      <c r="B11" s="8" t="s">
        <v>30</v>
      </c>
      <c r="C11" s="19">
        <v>772</v>
      </c>
      <c r="D11" s="19">
        <f>Справочник_станций_и_сборов[[#This Row],[Расстояние от Мск (км)]]-C10</f>
        <v>27</v>
      </c>
      <c r="E11" s="19">
        <v>0</v>
      </c>
      <c r="F11" s="19">
        <v>0</v>
      </c>
      <c r="G11" s="11"/>
      <c r="I11" s="95">
        <v>10</v>
      </c>
      <c r="J11" s="91">
        <v>3</v>
      </c>
      <c r="P11" s="24" t="s">
        <v>112</v>
      </c>
      <c r="Q11" s="55">
        <v>0.5</v>
      </c>
      <c r="R11" s="58" t="s">
        <v>113</v>
      </c>
    </row>
    <row r="12" spans="1:18" x14ac:dyDescent="0.25">
      <c r="A12" s="65">
        <v>11</v>
      </c>
      <c r="B12" s="8" t="s">
        <v>31</v>
      </c>
      <c r="C12" s="19">
        <v>794</v>
      </c>
      <c r="D12" s="19">
        <f>Справочник_станций_и_сборов[[#This Row],[Расстояние от Мск (км)]]-C11</f>
        <v>22</v>
      </c>
      <c r="E12" s="19">
        <v>0</v>
      </c>
      <c r="F12" s="19">
        <v>0</v>
      </c>
      <c r="G12" s="11"/>
      <c r="I12" s="95">
        <v>11</v>
      </c>
      <c r="J12" s="91">
        <v>3</v>
      </c>
      <c r="P12" s="61" t="s">
        <v>107</v>
      </c>
      <c r="Q12" s="62">
        <v>0.25</v>
      </c>
      <c r="R12" s="63" t="s">
        <v>114</v>
      </c>
    </row>
    <row r="13" spans="1:18" x14ac:dyDescent="0.25">
      <c r="A13" s="65">
        <v>12</v>
      </c>
      <c r="B13" s="8" t="s">
        <v>0</v>
      </c>
      <c r="C13" s="19">
        <v>823</v>
      </c>
      <c r="D13" s="19">
        <f>Справочник_станций_и_сборов[[#This Row],[Расстояние от Мск (км)]]-C12</f>
        <v>29</v>
      </c>
      <c r="E13" s="19">
        <v>1200</v>
      </c>
      <c r="F13" s="19">
        <v>0</v>
      </c>
      <c r="G13" s="11" t="s">
        <v>23</v>
      </c>
      <c r="I13" s="95">
        <v>12</v>
      </c>
      <c r="J13" s="91">
        <v>3</v>
      </c>
    </row>
    <row r="14" spans="1:18" x14ac:dyDescent="0.25">
      <c r="A14" s="65">
        <v>13</v>
      </c>
      <c r="B14" s="8" t="s">
        <v>32</v>
      </c>
      <c r="C14" s="19">
        <v>850</v>
      </c>
      <c r="D14" s="19">
        <f>Справочник_станций_и_сборов[[#This Row],[Расстояние от Мск (км)]]-C13</f>
        <v>27</v>
      </c>
      <c r="E14" s="19">
        <v>0</v>
      </c>
      <c r="F14" s="19">
        <v>0</v>
      </c>
      <c r="G14" s="11"/>
      <c r="I14" s="95">
        <v>13</v>
      </c>
      <c r="J14" s="91">
        <v>4</v>
      </c>
    </row>
    <row r="15" spans="1:18" ht="17.25" customHeight="1" x14ac:dyDescent="0.25">
      <c r="A15" s="65">
        <v>14</v>
      </c>
      <c r="B15" s="8" t="s">
        <v>33</v>
      </c>
      <c r="C15" s="19">
        <v>888</v>
      </c>
      <c r="D15" s="19">
        <f>Справочник_станций_и_сборов[[#This Row],[Расстояние от Мск (км)]]-C14</f>
        <v>38</v>
      </c>
      <c r="E15" s="19">
        <v>0</v>
      </c>
      <c r="F15" s="19">
        <v>0</v>
      </c>
      <c r="G15" s="11"/>
      <c r="I15" s="95">
        <v>14</v>
      </c>
      <c r="J15" s="91">
        <v>4</v>
      </c>
      <c r="P15" s="12" t="s">
        <v>124</v>
      </c>
      <c r="Q15" s="13" t="s">
        <v>127</v>
      </c>
      <c r="R15" s="14" t="s">
        <v>13</v>
      </c>
    </row>
    <row r="16" spans="1:18" x14ac:dyDescent="0.25">
      <c r="A16" s="65">
        <v>15</v>
      </c>
      <c r="B16" s="8" t="s">
        <v>34</v>
      </c>
      <c r="C16" s="19">
        <v>930</v>
      </c>
      <c r="D16" s="19">
        <f>Справочник_станций_и_сборов[[#This Row],[Расстояние от Мск (км)]]-C15</f>
        <v>42</v>
      </c>
      <c r="E16" s="19">
        <v>0</v>
      </c>
      <c r="F16" s="19">
        <v>0</v>
      </c>
      <c r="G16" s="11"/>
      <c r="I16" s="95">
        <v>15</v>
      </c>
      <c r="J16" s="91">
        <v>4</v>
      </c>
      <c r="P16" s="10" t="s">
        <v>128</v>
      </c>
      <c r="Q16" s="92">
        <v>0</v>
      </c>
      <c r="R16" s="11" t="s">
        <v>115</v>
      </c>
    </row>
    <row r="17" spans="1:18" x14ac:dyDescent="0.25">
      <c r="A17" s="65">
        <v>16</v>
      </c>
      <c r="B17" s="8" t="s">
        <v>1</v>
      </c>
      <c r="C17" s="19">
        <v>996</v>
      </c>
      <c r="D17" s="19">
        <f>Справочник_станций_и_сборов[[#This Row],[Расстояние от Мск (км)]]-C16</f>
        <v>66</v>
      </c>
      <c r="E17" s="19">
        <v>0</v>
      </c>
      <c r="F17" s="19">
        <v>0</v>
      </c>
      <c r="G17" s="11"/>
      <c r="I17" s="95">
        <v>16</v>
      </c>
      <c r="J17" s="91">
        <v>4</v>
      </c>
      <c r="P17" s="10" t="s">
        <v>129</v>
      </c>
      <c r="Q17" s="92">
        <v>0.1</v>
      </c>
      <c r="R17" s="11" t="s">
        <v>136</v>
      </c>
    </row>
    <row r="18" spans="1:18" x14ac:dyDescent="0.25">
      <c r="A18" s="65">
        <v>17</v>
      </c>
      <c r="B18" s="8" t="s">
        <v>35</v>
      </c>
      <c r="C18" s="19">
        <v>1018</v>
      </c>
      <c r="D18" s="19">
        <f>Справочник_станций_и_сборов[[#This Row],[Расстояние от Мск (км)]]-C17</f>
        <v>22</v>
      </c>
      <c r="E18" s="19">
        <v>0</v>
      </c>
      <c r="F18" s="19">
        <v>0</v>
      </c>
      <c r="G18" s="11"/>
      <c r="I18" s="95">
        <v>17</v>
      </c>
      <c r="J18" s="91">
        <v>5</v>
      </c>
      <c r="P18" s="10" t="s">
        <v>130</v>
      </c>
      <c r="Q18" s="92">
        <v>0.15</v>
      </c>
      <c r="R18" s="11" t="s">
        <v>126</v>
      </c>
    </row>
    <row r="19" spans="1:18" x14ac:dyDescent="0.25">
      <c r="A19" s="65">
        <v>18</v>
      </c>
      <c r="B19" s="8" t="s">
        <v>36</v>
      </c>
      <c r="C19" s="19">
        <v>1042</v>
      </c>
      <c r="D19" s="19">
        <f>Справочник_станций_и_сборов[[#This Row],[Расстояние от Мск (км)]]-C18</f>
        <v>24</v>
      </c>
      <c r="E19" s="19">
        <v>0</v>
      </c>
      <c r="F19" s="19">
        <v>0</v>
      </c>
      <c r="G19" s="11"/>
      <c r="I19" s="95">
        <v>18</v>
      </c>
      <c r="J19" s="91">
        <v>5</v>
      </c>
      <c r="P19" s="15" t="s">
        <v>131</v>
      </c>
      <c r="Q19" s="92">
        <v>0.2</v>
      </c>
      <c r="R19" s="11" t="s">
        <v>125</v>
      </c>
    </row>
    <row r="20" spans="1:18" x14ac:dyDescent="0.25">
      <c r="A20" s="65">
        <v>19</v>
      </c>
      <c r="B20" s="8" t="s">
        <v>2</v>
      </c>
      <c r="C20" s="19">
        <v>1065</v>
      </c>
      <c r="D20" s="19">
        <f>Справочник_станций_и_сборов[[#This Row],[Расстояние от Мск (км)]]-C19</f>
        <v>23</v>
      </c>
      <c r="E20" s="19">
        <v>0</v>
      </c>
      <c r="F20" s="19">
        <v>800</v>
      </c>
      <c r="G20" s="11" t="s">
        <v>37</v>
      </c>
      <c r="I20" s="95">
        <v>19</v>
      </c>
      <c r="J20" s="91">
        <v>5</v>
      </c>
    </row>
    <row r="21" spans="1:18" x14ac:dyDescent="0.25">
      <c r="A21" s="65">
        <v>20</v>
      </c>
      <c r="B21" s="8" t="s">
        <v>38</v>
      </c>
      <c r="C21" s="19">
        <v>1089</v>
      </c>
      <c r="D21" s="19">
        <f>Справочник_станций_и_сборов[[#This Row],[Расстояние от Мск (км)]]-C20</f>
        <v>24</v>
      </c>
      <c r="E21" s="19">
        <v>0</v>
      </c>
      <c r="F21" s="19">
        <v>0</v>
      </c>
      <c r="G21" s="11"/>
      <c r="I21" s="95">
        <v>20</v>
      </c>
      <c r="J21" s="91">
        <v>5</v>
      </c>
    </row>
    <row r="22" spans="1:18" x14ac:dyDescent="0.25">
      <c r="A22" s="65">
        <v>21</v>
      </c>
      <c r="B22" s="8" t="s">
        <v>39</v>
      </c>
      <c r="C22" s="19">
        <v>1101</v>
      </c>
      <c r="D22" s="19">
        <f>Справочник_станций_и_сборов[[#This Row],[Расстояние от Мск (км)]]-C21</f>
        <v>12</v>
      </c>
      <c r="E22" s="19">
        <v>0</v>
      </c>
      <c r="F22" s="19">
        <v>0</v>
      </c>
      <c r="G22" s="11"/>
      <c r="I22" s="95">
        <v>21</v>
      </c>
      <c r="J22" s="91">
        <v>6</v>
      </c>
    </row>
    <row r="23" spans="1:18" x14ac:dyDescent="0.25">
      <c r="A23" s="65">
        <v>22</v>
      </c>
      <c r="B23" s="8" t="s">
        <v>3</v>
      </c>
      <c r="C23" s="19">
        <v>1109</v>
      </c>
      <c r="D23" s="19">
        <f>Справочник_станций_и_сборов[[#This Row],[Расстояние от Мск (км)]]-C22</f>
        <v>8</v>
      </c>
      <c r="E23" s="19">
        <v>0</v>
      </c>
      <c r="F23" s="19">
        <v>0</v>
      </c>
      <c r="G23" s="11"/>
      <c r="I23" s="95">
        <v>22</v>
      </c>
      <c r="J23" s="91">
        <v>6</v>
      </c>
    </row>
    <row r="24" spans="1:18" x14ac:dyDescent="0.25">
      <c r="A24" s="65">
        <v>23</v>
      </c>
      <c r="B24" s="8" t="s">
        <v>40</v>
      </c>
      <c r="C24" s="19">
        <v>1128</v>
      </c>
      <c r="D24" s="19">
        <f>Справочник_станций_и_сборов[[#This Row],[Расстояние от Мск (км)]]-C23</f>
        <v>19</v>
      </c>
      <c r="E24" s="19">
        <v>0</v>
      </c>
      <c r="F24" s="19">
        <v>0</v>
      </c>
      <c r="G24" s="11"/>
      <c r="I24" s="95">
        <v>23</v>
      </c>
      <c r="J24" s="91">
        <v>6</v>
      </c>
    </row>
    <row r="25" spans="1:18" x14ac:dyDescent="0.25">
      <c r="A25" s="65">
        <v>24</v>
      </c>
      <c r="B25" s="8" t="s">
        <v>4</v>
      </c>
      <c r="C25" s="19">
        <v>1157</v>
      </c>
      <c r="D25" s="19">
        <f>Справочник_станций_и_сборов[[#This Row],[Расстояние от Мск (км)]]-C24</f>
        <v>29</v>
      </c>
      <c r="E25" s="19">
        <v>0</v>
      </c>
      <c r="F25" s="19">
        <v>0</v>
      </c>
      <c r="G25" s="11"/>
      <c r="I25" s="95">
        <v>24</v>
      </c>
      <c r="J25" s="91">
        <v>6</v>
      </c>
    </row>
    <row r="26" spans="1:18" x14ac:dyDescent="0.25">
      <c r="A26" s="65">
        <v>25</v>
      </c>
      <c r="B26" s="8" t="s">
        <v>41</v>
      </c>
      <c r="C26" s="19">
        <v>1165</v>
      </c>
      <c r="D26" s="19">
        <f>Справочник_станций_и_сборов[[#This Row],[Расстояние от Мск (км)]]-C25</f>
        <v>8</v>
      </c>
      <c r="E26" s="19">
        <v>0</v>
      </c>
      <c r="F26" s="19">
        <v>0</v>
      </c>
      <c r="G26" s="11"/>
      <c r="I26" s="95">
        <v>25</v>
      </c>
      <c r="J26" s="91">
        <v>7</v>
      </c>
    </row>
    <row r="27" spans="1:18" x14ac:dyDescent="0.25">
      <c r="A27" s="65">
        <v>26</v>
      </c>
      <c r="B27" s="8" t="s">
        <v>42</v>
      </c>
      <c r="C27" s="19">
        <v>1182</v>
      </c>
      <c r="D27" s="19">
        <f>Справочник_станций_и_сборов[[#This Row],[Расстояние от Мск (км)]]-C26</f>
        <v>17</v>
      </c>
      <c r="E27" s="19">
        <v>0</v>
      </c>
      <c r="F27" s="19">
        <v>0</v>
      </c>
      <c r="G27" s="11"/>
      <c r="I27" s="95">
        <v>26</v>
      </c>
      <c r="J27" s="91">
        <v>7</v>
      </c>
    </row>
    <row r="28" spans="1:18" x14ac:dyDescent="0.25">
      <c r="A28" s="65">
        <v>27</v>
      </c>
      <c r="B28" s="8" t="s">
        <v>43</v>
      </c>
      <c r="C28" s="19">
        <v>1190</v>
      </c>
      <c r="D28" s="19">
        <f>Справочник_станций_и_сборов[[#This Row],[Расстояние от Мск (км)]]-C27</f>
        <v>8</v>
      </c>
      <c r="E28" s="19">
        <v>0</v>
      </c>
      <c r="F28" s="19">
        <v>0</v>
      </c>
      <c r="G28" s="11"/>
      <c r="I28" s="95">
        <v>27</v>
      </c>
      <c r="J28" s="91">
        <v>7</v>
      </c>
    </row>
    <row r="29" spans="1:18" x14ac:dyDescent="0.25">
      <c r="A29" s="65">
        <v>28</v>
      </c>
      <c r="B29" s="8" t="s">
        <v>5</v>
      </c>
      <c r="C29" s="19">
        <v>1195</v>
      </c>
      <c r="D29" s="19">
        <f>Справочник_станций_и_сборов[[#This Row],[Расстояние от Мск (км)]]-C28</f>
        <v>5</v>
      </c>
      <c r="E29" s="19">
        <v>0</v>
      </c>
      <c r="F29" s="19">
        <v>0</v>
      </c>
      <c r="G29" s="11"/>
      <c r="I29" s="95">
        <v>28</v>
      </c>
      <c r="J29" s="91">
        <v>7</v>
      </c>
    </row>
    <row r="30" spans="1:18" x14ac:dyDescent="0.25">
      <c r="A30" s="65">
        <v>29</v>
      </c>
      <c r="B30" s="8" t="s">
        <v>44</v>
      </c>
      <c r="C30" s="19">
        <v>1218</v>
      </c>
      <c r="D30" s="19">
        <f>Справочник_станций_и_сборов[[#This Row],[Расстояние от Мск (км)]]-C29</f>
        <v>23</v>
      </c>
      <c r="E30" s="19">
        <v>0</v>
      </c>
      <c r="F30" s="19">
        <v>0</v>
      </c>
      <c r="G30" s="11"/>
      <c r="I30" s="95">
        <v>29</v>
      </c>
      <c r="J30" s="91">
        <v>8</v>
      </c>
    </row>
    <row r="31" spans="1:18" x14ac:dyDescent="0.25">
      <c r="A31" s="66">
        <v>30</v>
      </c>
      <c r="B31" s="16" t="s">
        <v>45</v>
      </c>
      <c r="C31" s="20">
        <v>1230</v>
      </c>
      <c r="D31" s="20">
        <f>Справочник_станций_и_сборов[[#This Row],[Расстояние от Мск (км)]]-C30</f>
        <v>12</v>
      </c>
      <c r="E31" s="20">
        <v>0</v>
      </c>
      <c r="F31" s="20">
        <v>0</v>
      </c>
      <c r="G31" s="18" t="s">
        <v>46</v>
      </c>
      <c r="I31" s="95">
        <v>30</v>
      </c>
      <c r="J31" s="91">
        <v>8</v>
      </c>
    </row>
    <row r="32" spans="1:18" x14ac:dyDescent="0.25">
      <c r="A32" s="15" t="s">
        <v>7</v>
      </c>
      <c r="B32" s="17"/>
      <c r="C32" s="20">
        <f>SUBTOTAL(109,Справочник_станций_и_сборов[Расстояние от Мск (км)])</f>
        <v>26071</v>
      </c>
      <c r="D32" s="20">
        <f>SUBTOTAL(109,Справочник_станций_и_сборов[Длина перегона  (км)])</f>
        <v>1230</v>
      </c>
      <c r="E32" s="20">
        <f>SUBTOTAL(109,Справочник_станций_и_сборов[Сбор: Вода (₽)])</f>
        <v>3900</v>
      </c>
      <c r="F32" s="20">
        <f>SUBTOTAL(109,Справочник_станций_и_сборов[Сбор: Септик (₽)])</f>
        <v>1800</v>
      </c>
      <c r="G32" s="18">
        <f>SUBTOTAL(103,Справочник_станций_и_сборов[Примечание])</f>
        <v>6</v>
      </c>
      <c r="I32" s="95">
        <v>31</v>
      </c>
      <c r="J32" s="91">
        <v>8</v>
      </c>
    </row>
    <row r="33" spans="9:10" x14ac:dyDescent="0.25">
      <c r="I33" s="95">
        <v>32</v>
      </c>
      <c r="J33" s="91">
        <v>8</v>
      </c>
    </row>
    <row r="34" spans="9:10" x14ac:dyDescent="0.25">
      <c r="I34" s="95">
        <v>33</v>
      </c>
      <c r="J34" s="91">
        <v>9</v>
      </c>
    </row>
    <row r="35" spans="9:10" x14ac:dyDescent="0.25">
      <c r="I35" s="95">
        <v>34</v>
      </c>
      <c r="J35" s="91">
        <v>9</v>
      </c>
    </row>
    <row r="36" spans="9:10" x14ac:dyDescent="0.25">
      <c r="I36" s="95">
        <v>35</v>
      </c>
      <c r="J36" s="91">
        <v>9</v>
      </c>
    </row>
    <row r="37" spans="9:10" x14ac:dyDescent="0.25">
      <c r="I37" s="95">
        <v>36</v>
      </c>
      <c r="J37" s="91">
        <v>9</v>
      </c>
    </row>
    <row r="38" spans="9:10" x14ac:dyDescent="0.25">
      <c r="I38" s="95">
        <v>37</v>
      </c>
      <c r="J38" s="91">
        <v>9</v>
      </c>
    </row>
    <row r="39" spans="9:10" x14ac:dyDescent="0.25">
      <c r="I39" s="95">
        <v>38</v>
      </c>
      <c r="J39" s="91">
        <v>9</v>
      </c>
    </row>
    <row r="40" spans="9:10" x14ac:dyDescent="0.25">
      <c r="I40" s="95">
        <v>39</v>
      </c>
      <c r="J40" s="91">
        <v>8</v>
      </c>
    </row>
    <row r="41" spans="9:10" x14ac:dyDescent="0.25">
      <c r="I41" s="95">
        <v>40</v>
      </c>
      <c r="J41" s="91">
        <v>8</v>
      </c>
    </row>
    <row r="42" spans="9:10" x14ac:dyDescent="0.25">
      <c r="I42" s="95">
        <v>41</v>
      </c>
      <c r="J42" s="91">
        <v>7</v>
      </c>
    </row>
    <row r="43" spans="9:10" x14ac:dyDescent="0.25">
      <c r="I43" s="95">
        <v>42</v>
      </c>
      <c r="J43" s="91">
        <v>7</v>
      </c>
    </row>
    <row r="44" spans="9:10" x14ac:dyDescent="0.25">
      <c r="I44" s="95">
        <v>43</v>
      </c>
      <c r="J44" s="91">
        <v>6</v>
      </c>
    </row>
    <row r="45" spans="9:10" x14ac:dyDescent="0.25">
      <c r="I45" s="95">
        <v>44</v>
      </c>
      <c r="J45" s="91">
        <v>6</v>
      </c>
    </row>
    <row r="46" spans="9:10" x14ac:dyDescent="0.25">
      <c r="I46" s="95">
        <v>45</v>
      </c>
      <c r="J46" s="91">
        <v>5</v>
      </c>
    </row>
    <row r="47" spans="9:10" x14ac:dyDescent="0.25">
      <c r="I47" s="95">
        <v>46</v>
      </c>
      <c r="J47" s="91">
        <v>5</v>
      </c>
    </row>
    <row r="48" spans="9:10" x14ac:dyDescent="0.25">
      <c r="I48" s="95">
        <v>47</v>
      </c>
      <c r="J48" s="91">
        <v>4</v>
      </c>
    </row>
    <row r="49" spans="9:10" x14ac:dyDescent="0.25">
      <c r="I49" s="95">
        <v>48</v>
      </c>
      <c r="J49" s="91">
        <v>4</v>
      </c>
    </row>
    <row r="50" spans="9:10" x14ac:dyDescent="0.25">
      <c r="I50" s="95">
        <v>49</v>
      </c>
      <c r="J50" s="91">
        <v>3</v>
      </c>
    </row>
    <row r="51" spans="9:10" x14ac:dyDescent="0.25">
      <c r="I51" s="95">
        <v>50</v>
      </c>
      <c r="J51" s="91">
        <v>3</v>
      </c>
    </row>
    <row r="52" spans="9:10" x14ac:dyDescent="0.25">
      <c r="I52" s="95">
        <v>51</v>
      </c>
      <c r="J52" s="91">
        <v>2</v>
      </c>
    </row>
    <row r="53" spans="9:10" x14ac:dyDescent="0.25">
      <c r="I53" s="95">
        <v>52</v>
      </c>
      <c r="J53" s="91">
        <v>2</v>
      </c>
    </row>
    <row r="54" spans="9:10" x14ac:dyDescent="0.25">
      <c r="I54" s="95">
        <v>53</v>
      </c>
      <c r="J54" s="91">
        <v>1</v>
      </c>
    </row>
    <row r="55" spans="9:10" x14ac:dyDescent="0.25">
      <c r="I55" s="96">
        <v>54</v>
      </c>
      <c r="J55" s="97">
        <v>1</v>
      </c>
    </row>
  </sheetData>
  <pageMargins left="0.7" right="0.7" top="0.75" bottom="0.75" header="0.3" footer="0.3"/>
  <pageSetup paperSize="9" orientation="portrait" r:id="rId1"/>
  <legacy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49AA-115C-4BA5-AB86-30D4EA489621}">
  <sheetPr>
    <tabColor rgb="FFC00000"/>
  </sheetPr>
  <dimension ref="B1:E24"/>
  <sheetViews>
    <sheetView zoomScale="145" zoomScaleNormal="145" workbookViewId="0">
      <selection activeCell="H16" sqref="H16"/>
    </sheetView>
  </sheetViews>
  <sheetFormatPr defaultRowHeight="15.75" outlineLevelCol="1" x14ac:dyDescent="0.25"/>
  <cols>
    <col min="1" max="1" width="3.7109375" customWidth="1"/>
    <col min="2" max="2" width="44.42578125" style="26" customWidth="1"/>
    <col min="3" max="3" width="28.85546875" style="26" customWidth="1"/>
    <col min="4" max="4" width="90.7109375" style="26" hidden="1" customWidth="1" outlineLevel="1"/>
    <col min="5" max="5" width="10" customWidth="1" collapsed="1"/>
  </cols>
  <sheetData>
    <row r="1" spans="2:4" ht="16.5" thickBot="1" x14ac:dyDescent="0.3"/>
    <row r="2" spans="2:4" x14ac:dyDescent="0.25">
      <c r="B2" s="33" t="s">
        <v>62</v>
      </c>
      <c r="C2" s="34"/>
      <c r="D2" s="35"/>
    </row>
    <row r="3" spans="2:4" x14ac:dyDescent="0.25">
      <c r="B3" s="36" t="s">
        <v>63</v>
      </c>
      <c r="C3" s="25" t="s">
        <v>93</v>
      </c>
      <c r="D3" s="37" t="s">
        <v>12</v>
      </c>
    </row>
    <row r="4" spans="2:4" x14ac:dyDescent="0.25">
      <c r="B4" s="38" t="s">
        <v>64</v>
      </c>
      <c r="C4" s="27">
        <f>Sales[[#Totals],[Цена, ₽]]</f>
        <v>68437.75</v>
      </c>
      <c r="D4" s="39" t="s">
        <v>74</v>
      </c>
    </row>
    <row r="5" spans="2:4" x14ac:dyDescent="0.25">
      <c r="B5" s="38" t="s">
        <v>65</v>
      </c>
      <c r="C5" s="28">
        <f>Sales[[#Totals],[Место]]*Справочник!$Q$5</f>
        <v>4050</v>
      </c>
      <c r="D5" s="40" t="s">
        <v>75</v>
      </c>
    </row>
    <row r="6" spans="2:4" ht="16.5" thickBot="1" x14ac:dyDescent="0.3">
      <c r="B6" s="41" t="s">
        <v>66</v>
      </c>
      <c r="C6" s="42">
        <f>SUM(C4:C5)</f>
        <v>72487.75</v>
      </c>
      <c r="D6" s="43" t="s">
        <v>88</v>
      </c>
    </row>
    <row r="7" spans="2:4" ht="16.5" thickBot="1" x14ac:dyDescent="0.3">
      <c r="B7" s="22"/>
      <c r="C7" s="22"/>
      <c r="D7" s="23"/>
    </row>
    <row r="8" spans="2:4" x14ac:dyDescent="0.25">
      <c r="B8" s="33" t="s">
        <v>67</v>
      </c>
      <c r="C8" s="34"/>
      <c r="D8" s="35"/>
    </row>
    <row r="9" spans="2:4" x14ac:dyDescent="0.25">
      <c r="B9" s="36" t="s">
        <v>63</v>
      </c>
      <c r="C9" s="25" t="s">
        <v>93</v>
      </c>
      <c r="D9" s="37" t="s">
        <v>12</v>
      </c>
    </row>
    <row r="10" spans="2:4" x14ac:dyDescent="0.25">
      <c r="B10" s="38" t="s">
        <v>68</v>
      </c>
      <c r="C10" s="21">
        <f>Справочник!$M$3</f>
        <v>30000</v>
      </c>
      <c r="D10" s="44" t="s">
        <v>76</v>
      </c>
    </row>
    <row r="11" spans="2:4" x14ac:dyDescent="0.25">
      <c r="B11" s="38" t="s">
        <v>69</v>
      </c>
      <c r="C11" s="28">
        <f>Sales[[#Totals],[Место]]*250</f>
        <v>6750</v>
      </c>
      <c r="D11" s="40" t="s">
        <v>77</v>
      </c>
    </row>
    <row r="12" spans="2:4" x14ac:dyDescent="0.25">
      <c r="B12" s="38" t="s">
        <v>70</v>
      </c>
      <c r="C12" s="29">
        <f>Справочник_станций_и_сборов[[#Totals],[Сбор: Вода (₽)]]+Справочник_станций_и_сборов[[#Totals],[Сбор: Септик (₽)]]</f>
        <v>5700</v>
      </c>
      <c r="D12" s="44" t="s">
        <v>78</v>
      </c>
    </row>
    <row r="13" spans="2:4" x14ac:dyDescent="0.25">
      <c r="B13" s="38" t="s">
        <v>71</v>
      </c>
      <c r="C13" s="27">
        <f>Справочник_станций_и_сборов[[#Totals],[Длина перегона  (км)]]*Справочник!$M$6</f>
        <v>18450</v>
      </c>
      <c r="D13" s="44" t="s">
        <v>79</v>
      </c>
    </row>
    <row r="14" spans="2:4" x14ac:dyDescent="0.25">
      <c r="B14" s="38" t="s">
        <v>72</v>
      </c>
      <c r="C14" s="21">
        <f>Справочник!$M$4+Справочник!$M$5</f>
        <v>6000</v>
      </c>
      <c r="D14" s="44" t="s">
        <v>80</v>
      </c>
    </row>
    <row r="15" spans="2:4" ht="16.5" thickBot="1" x14ac:dyDescent="0.3">
      <c r="B15" s="41" t="s">
        <v>73</v>
      </c>
      <c r="C15" s="42">
        <f>SUM(C10:C14)</f>
        <v>66900</v>
      </c>
      <c r="D15" s="43" t="s">
        <v>81</v>
      </c>
    </row>
    <row r="16" spans="2:4" ht="16.5" thickBot="1" x14ac:dyDescent="0.3"/>
    <row r="17" spans="2:4" x14ac:dyDescent="0.25">
      <c r="B17" s="33" t="s">
        <v>82</v>
      </c>
      <c r="C17" s="34"/>
      <c r="D17" s="35"/>
    </row>
    <row r="18" spans="2:4" x14ac:dyDescent="0.25">
      <c r="B18" s="36" t="s">
        <v>94</v>
      </c>
      <c r="C18" s="25" t="s">
        <v>95</v>
      </c>
      <c r="D18" s="37" t="s">
        <v>12</v>
      </c>
    </row>
    <row r="19" spans="2:4" x14ac:dyDescent="0.25">
      <c r="B19" s="45" t="s">
        <v>101</v>
      </c>
      <c r="C19" s="30">
        <f>C6-C15</f>
        <v>5587.75</v>
      </c>
      <c r="D19" s="46" t="s">
        <v>86</v>
      </c>
    </row>
    <row r="20" spans="2:4" x14ac:dyDescent="0.25">
      <c r="B20" s="45" t="s">
        <v>102</v>
      </c>
      <c r="C20" s="30">
        <f>Sales[[#Totals],[Цена, ₽]]/Sales[[#Totals],[Место]]</f>
        <v>2534.7314814814813</v>
      </c>
      <c r="D20" s="46" t="s">
        <v>87</v>
      </c>
    </row>
    <row r="21" spans="2:4" x14ac:dyDescent="0.25">
      <c r="B21" s="45" t="s">
        <v>103</v>
      </c>
      <c r="C21" s="30">
        <f>C6/Справочник_станций_и_сборов[[#Totals],[Длина перегона  (км)]]</f>
        <v>58.93313008130081</v>
      </c>
      <c r="D21" s="47" t="s">
        <v>99</v>
      </c>
    </row>
    <row r="22" spans="2:4" x14ac:dyDescent="0.25">
      <c r="B22" s="45" t="s">
        <v>104</v>
      </c>
      <c r="C22" s="31">
        <f>(C19/C6)*100%</f>
        <v>7.7085438574103896E-2</v>
      </c>
      <c r="D22" s="46" t="s">
        <v>100</v>
      </c>
    </row>
    <row r="23" spans="2:4" x14ac:dyDescent="0.25">
      <c r="B23" s="45" t="s">
        <v>105</v>
      </c>
      <c r="C23" s="31">
        <f>SUM(Аналитика!B3:AD56) / (54 * 29)</f>
        <v>0.23371647509578544</v>
      </c>
      <c r="D23" s="46" t="s">
        <v>89</v>
      </c>
    </row>
    <row r="24" spans="2:4" ht="16.5" thickBot="1" x14ac:dyDescent="0.3">
      <c r="B24" s="48" t="s">
        <v>96</v>
      </c>
      <c r="C24" s="49">
        <f>C15/(C4/Sales[[#Totals],[Место]])</f>
        <v>26.393328243549796</v>
      </c>
      <c r="D24" s="50" t="s">
        <v>97</v>
      </c>
    </row>
  </sheetData>
  <conditionalFormatting sqref="C19:C24">
    <cfRule type="cellIs" dxfId="1" priority="2" operator="lessThan">
      <formula>0</formula>
    </cfRule>
  </conditionalFormatting>
  <conditionalFormatting sqref="C22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6EF2-09B2-4CFA-8FAE-2004E20D1CEA}">
  <sheetPr>
    <tabColor rgb="FF0070C0"/>
  </sheetPr>
  <dimension ref="A3:V38"/>
  <sheetViews>
    <sheetView zoomScale="115" zoomScaleNormal="115" workbookViewId="0">
      <selection activeCell="Z9" sqref="Z9"/>
    </sheetView>
  </sheetViews>
  <sheetFormatPr defaultRowHeight="15" x14ac:dyDescent="0.25"/>
  <cols>
    <col min="1" max="1" width="34.5703125" bestFit="1" customWidth="1"/>
    <col min="2" max="2" width="20.85546875" bestFit="1" customWidth="1"/>
    <col min="3" max="12" width="2.28515625" bestFit="1" customWidth="1"/>
    <col min="13" max="21" width="3.42578125" bestFit="1" customWidth="1"/>
    <col min="22" max="22" width="11.85546875" bestFit="1" customWidth="1"/>
    <col min="23" max="23" width="13.7109375" bestFit="1" customWidth="1"/>
    <col min="24" max="24" width="9.7109375" bestFit="1" customWidth="1"/>
    <col min="25" max="25" width="8.85546875" bestFit="1" customWidth="1"/>
    <col min="26" max="27" width="15.85546875" bestFit="1" customWidth="1"/>
    <col min="28" max="28" width="19.5703125" bestFit="1" customWidth="1"/>
    <col min="29" max="29" width="6.5703125" bestFit="1" customWidth="1"/>
    <col min="30" max="30" width="11.85546875" bestFit="1" customWidth="1"/>
  </cols>
  <sheetData>
    <row r="3" spans="1:22" x14ac:dyDescent="0.25">
      <c r="A3" s="140" t="s">
        <v>144</v>
      </c>
      <c r="B3" s="140" t="s">
        <v>143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40" t="s">
        <v>140</v>
      </c>
      <c r="B4" s="1" t="s">
        <v>141</v>
      </c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18</v>
      </c>
      <c r="S4" s="1">
        <v>25</v>
      </c>
      <c r="T4" s="1">
        <v>33</v>
      </c>
      <c r="U4" s="1">
        <v>39</v>
      </c>
      <c r="V4" s="1" t="s">
        <v>142</v>
      </c>
    </row>
    <row r="5" spans="1:22" x14ac:dyDescent="0.25">
      <c r="A5" s="141" t="s">
        <v>141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</row>
    <row r="6" spans="1:22" x14ac:dyDescent="0.25">
      <c r="A6" s="143" t="s">
        <v>141</v>
      </c>
      <c r="B6" s="142">
        <v>29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>
        <v>29</v>
      </c>
    </row>
    <row r="7" spans="1:22" x14ac:dyDescent="0.25">
      <c r="A7" s="141" t="s">
        <v>25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</row>
    <row r="8" spans="1:22" x14ac:dyDescent="0.25">
      <c r="A8" s="143" t="s">
        <v>36</v>
      </c>
      <c r="B8" s="142"/>
      <c r="C8" s="142"/>
      <c r="D8" s="142"/>
      <c r="E8" s="142"/>
      <c r="F8" s="142"/>
      <c r="G8" s="142"/>
      <c r="H8" s="142"/>
      <c r="I8" s="142">
        <v>1</v>
      </c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>
        <v>1</v>
      </c>
    </row>
    <row r="9" spans="1:22" x14ac:dyDescent="0.25">
      <c r="A9" s="143" t="s">
        <v>45</v>
      </c>
      <c r="B9" s="142"/>
      <c r="C9" s="142"/>
      <c r="D9" s="142"/>
      <c r="E9" s="142">
        <v>1</v>
      </c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>
        <v>1</v>
      </c>
      <c r="S9" s="142"/>
      <c r="T9" s="142"/>
      <c r="U9" s="142"/>
      <c r="V9" s="142">
        <v>2</v>
      </c>
    </row>
    <row r="10" spans="1:22" x14ac:dyDescent="0.25">
      <c r="A10" s="141" t="s">
        <v>24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</row>
    <row r="11" spans="1:22" x14ac:dyDescent="0.25">
      <c r="A11" s="143" t="s">
        <v>5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>
        <v>1</v>
      </c>
      <c r="Q11" s="142"/>
      <c r="R11" s="142"/>
      <c r="S11" s="142"/>
      <c r="T11" s="142"/>
      <c r="U11" s="142"/>
      <c r="V11" s="142">
        <v>1</v>
      </c>
    </row>
    <row r="12" spans="1:22" x14ac:dyDescent="0.25">
      <c r="A12" s="141" t="s">
        <v>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</row>
    <row r="13" spans="1:22" x14ac:dyDescent="0.25">
      <c r="A13" s="143" t="s">
        <v>45</v>
      </c>
      <c r="B13" s="142"/>
      <c r="C13" s="142"/>
      <c r="D13" s="142"/>
      <c r="E13" s="142"/>
      <c r="F13" s="142"/>
      <c r="G13" s="142">
        <v>1</v>
      </c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>
        <v>1</v>
      </c>
    </row>
    <row r="14" spans="1:22" x14ac:dyDescent="0.25">
      <c r="A14" s="141" t="s">
        <v>27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</row>
    <row r="15" spans="1:22" x14ac:dyDescent="0.25">
      <c r="A15" s="143" t="s">
        <v>0</v>
      </c>
      <c r="B15" s="142"/>
      <c r="C15" s="142"/>
      <c r="D15" s="142"/>
      <c r="E15" s="142"/>
      <c r="F15" s="142">
        <v>1</v>
      </c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>
        <v>1</v>
      </c>
    </row>
    <row r="16" spans="1:22" x14ac:dyDescent="0.25">
      <c r="A16" s="141" t="s">
        <v>1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</row>
    <row r="17" spans="1:22" x14ac:dyDescent="0.25">
      <c r="A17" s="143" t="s">
        <v>4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>
        <v>1</v>
      </c>
      <c r="R17" s="142"/>
      <c r="S17" s="142"/>
      <c r="T17" s="142"/>
      <c r="U17" s="142"/>
      <c r="V17" s="142">
        <v>1</v>
      </c>
    </row>
    <row r="18" spans="1:22" x14ac:dyDescent="0.25">
      <c r="A18" s="141" t="s">
        <v>22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</row>
    <row r="19" spans="1:22" x14ac:dyDescent="0.25">
      <c r="A19" s="143" t="s">
        <v>27</v>
      </c>
      <c r="B19" s="142"/>
      <c r="C19" s="142"/>
      <c r="D19" s="142"/>
      <c r="E19" s="142"/>
      <c r="F19" s="142">
        <v>1</v>
      </c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>
        <v>1</v>
      </c>
    </row>
    <row r="20" spans="1:22" x14ac:dyDescent="0.25">
      <c r="A20" s="143" t="s">
        <v>40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>
        <v>1</v>
      </c>
      <c r="V20" s="142">
        <v>1</v>
      </c>
    </row>
    <row r="21" spans="1:22" x14ac:dyDescent="0.25">
      <c r="A21" s="143" t="s">
        <v>34</v>
      </c>
      <c r="B21" s="142"/>
      <c r="C21" s="142"/>
      <c r="D21" s="142"/>
      <c r="E21" s="142"/>
      <c r="F21" s="142"/>
      <c r="G21" s="142"/>
      <c r="H21" s="142">
        <v>1</v>
      </c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>
        <v>1</v>
      </c>
    </row>
    <row r="22" spans="1:22" x14ac:dyDescent="0.25">
      <c r="A22" s="141" t="s">
        <v>18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</row>
    <row r="23" spans="1:22" x14ac:dyDescent="0.25">
      <c r="A23" s="143" t="s">
        <v>25</v>
      </c>
      <c r="B23" s="142"/>
      <c r="C23" s="142"/>
      <c r="D23" s="142"/>
      <c r="E23" s="142">
        <v>1</v>
      </c>
      <c r="F23" s="142"/>
      <c r="G23" s="142"/>
      <c r="H23" s="142"/>
      <c r="I23" s="142">
        <v>1</v>
      </c>
      <c r="J23" s="142"/>
      <c r="K23" s="142"/>
      <c r="L23" s="142">
        <v>1</v>
      </c>
      <c r="M23" s="142"/>
      <c r="N23" s="142"/>
      <c r="O23" s="142"/>
      <c r="P23" s="142"/>
      <c r="Q23" s="142"/>
      <c r="R23" s="142"/>
      <c r="S23" s="142"/>
      <c r="T23" s="142"/>
      <c r="U23" s="142"/>
      <c r="V23" s="142">
        <v>3</v>
      </c>
    </row>
    <row r="24" spans="1:22" x14ac:dyDescent="0.25">
      <c r="A24" s="143" t="s">
        <v>24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>
        <v>1</v>
      </c>
      <c r="U24" s="142"/>
      <c r="V24" s="142">
        <v>1</v>
      </c>
    </row>
    <row r="25" spans="1:22" x14ac:dyDescent="0.25">
      <c r="A25" s="143" t="s">
        <v>27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>
        <v>1</v>
      </c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>
        <v>1</v>
      </c>
    </row>
    <row r="26" spans="1:22" x14ac:dyDescent="0.25">
      <c r="A26" s="143" t="s">
        <v>1</v>
      </c>
      <c r="B26" s="142"/>
      <c r="C26" s="142"/>
      <c r="D26" s="142"/>
      <c r="E26" s="142"/>
      <c r="F26" s="142"/>
      <c r="G26" s="142"/>
      <c r="H26" s="142"/>
      <c r="I26" s="142"/>
      <c r="J26" s="142">
        <v>1</v>
      </c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>
        <v>1</v>
      </c>
    </row>
    <row r="27" spans="1:22" x14ac:dyDescent="0.25">
      <c r="A27" s="143" t="s">
        <v>22</v>
      </c>
      <c r="B27" s="142"/>
      <c r="C27" s="142"/>
      <c r="D27" s="142"/>
      <c r="E27" s="142"/>
      <c r="F27" s="142">
        <v>1</v>
      </c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>
        <v>1</v>
      </c>
    </row>
    <row r="28" spans="1:22" x14ac:dyDescent="0.25">
      <c r="A28" s="143" t="s">
        <v>45</v>
      </c>
      <c r="B28" s="142"/>
      <c r="C28" s="142">
        <v>1</v>
      </c>
      <c r="D28" s="142">
        <v>1</v>
      </c>
      <c r="E28" s="142"/>
      <c r="F28" s="142"/>
      <c r="G28" s="142"/>
      <c r="H28" s="142"/>
      <c r="I28" s="142"/>
      <c r="J28" s="142"/>
      <c r="K28" s="142"/>
      <c r="L28" s="142"/>
      <c r="M28" s="142">
        <v>1</v>
      </c>
      <c r="N28" s="142">
        <v>1</v>
      </c>
      <c r="O28" s="142">
        <v>1</v>
      </c>
      <c r="P28" s="142"/>
      <c r="Q28" s="142"/>
      <c r="R28" s="142"/>
      <c r="S28" s="142"/>
      <c r="T28" s="142"/>
      <c r="U28" s="142"/>
      <c r="V28" s="142">
        <v>5</v>
      </c>
    </row>
    <row r="29" spans="1:22" x14ac:dyDescent="0.25">
      <c r="A29" s="143" t="s">
        <v>34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>
        <v>1</v>
      </c>
      <c r="R29" s="142"/>
      <c r="S29" s="142"/>
      <c r="T29" s="142"/>
      <c r="U29" s="142"/>
      <c r="V29" s="142">
        <v>1</v>
      </c>
    </row>
    <row r="30" spans="1:22" x14ac:dyDescent="0.25">
      <c r="A30" s="141" t="s">
        <v>0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</row>
    <row r="31" spans="1:22" x14ac:dyDescent="0.25">
      <c r="A31" s="143" t="s">
        <v>45</v>
      </c>
      <c r="B31" s="142"/>
      <c r="C31" s="142"/>
      <c r="D31" s="142"/>
      <c r="E31" s="142"/>
      <c r="F31" s="142">
        <v>1</v>
      </c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>
        <v>1</v>
      </c>
    </row>
    <row r="32" spans="1:22" x14ac:dyDescent="0.25">
      <c r="A32" s="141" t="s">
        <v>20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</row>
    <row r="33" spans="1:22" x14ac:dyDescent="0.25">
      <c r="A33" s="143" t="s">
        <v>2</v>
      </c>
      <c r="B33" s="142"/>
      <c r="C33" s="142"/>
      <c r="D33" s="142"/>
      <c r="E33" s="142"/>
      <c r="F33" s="142"/>
      <c r="G33" s="142">
        <v>1</v>
      </c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>
        <v>1</v>
      </c>
    </row>
    <row r="34" spans="1:22" x14ac:dyDescent="0.25">
      <c r="A34" s="141" t="s">
        <v>43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</row>
    <row r="35" spans="1:22" x14ac:dyDescent="0.25">
      <c r="A35" s="143" t="s">
        <v>45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>
        <v>1</v>
      </c>
      <c r="T35" s="142"/>
      <c r="U35" s="142"/>
      <c r="V35" s="142">
        <v>1</v>
      </c>
    </row>
    <row r="36" spans="1:22" x14ac:dyDescent="0.25">
      <c r="A36" s="141" t="s">
        <v>34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</row>
    <row r="37" spans="1:22" x14ac:dyDescent="0.25">
      <c r="A37" s="143" t="s">
        <v>45</v>
      </c>
      <c r="B37" s="142"/>
      <c r="C37" s="142"/>
      <c r="D37" s="142"/>
      <c r="E37" s="142"/>
      <c r="F37" s="142"/>
      <c r="G37" s="142"/>
      <c r="H37" s="142">
        <v>1</v>
      </c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>
        <v>1</v>
      </c>
    </row>
    <row r="38" spans="1:22" x14ac:dyDescent="0.25">
      <c r="A38" s="141" t="s">
        <v>142</v>
      </c>
      <c r="B38" s="142">
        <v>29</v>
      </c>
      <c r="C38" s="142">
        <v>1</v>
      </c>
      <c r="D38" s="142">
        <v>1</v>
      </c>
      <c r="E38" s="142">
        <v>2</v>
      </c>
      <c r="F38" s="142">
        <v>4</v>
      </c>
      <c r="G38" s="142">
        <v>2</v>
      </c>
      <c r="H38" s="142">
        <v>2</v>
      </c>
      <c r="I38" s="142">
        <v>2</v>
      </c>
      <c r="J38" s="142">
        <v>1</v>
      </c>
      <c r="K38" s="142">
        <v>1</v>
      </c>
      <c r="L38" s="142">
        <v>1</v>
      </c>
      <c r="M38" s="142">
        <v>1</v>
      </c>
      <c r="N38" s="142">
        <v>1</v>
      </c>
      <c r="O38" s="142">
        <v>1</v>
      </c>
      <c r="P38" s="142">
        <v>1</v>
      </c>
      <c r="Q38" s="142">
        <v>2</v>
      </c>
      <c r="R38" s="142">
        <v>1</v>
      </c>
      <c r="S38" s="142">
        <v>1</v>
      </c>
      <c r="T38" s="142">
        <v>1</v>
      </c>
      <c r="U38" s="142">
        <v>1</v>
      </c>
      <c r="V38" s="142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8F68E-5ED6-4B65-8208-6CC809919E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Dashboard</vt:lpstr>
      <vt:lpstr>Продажи</vt:lpstr>
      <vt:lpstr>Аналитика</vt:lpstr>
      <vt:lpstr>Справочник</vt:lpstr>
      <vt:lpstr>P&amp;L Отчет</vt:lpstr>
      <vt:lpstr>Сводная по местам</vt:lpstr>
      <vt:lpstr>База_цена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Пользователь;Роман Плужников</dc:creator>
  <cp:lastModifiedBy>Роман Плужников</cp:lastModifiedBy>
  <dcterms:created xsi:type="dcterms:W3CDTF">2015-06-05T18:19:34Z</dcterms:created>
  <dcterms:modified xsi:type="dcterms:W3CDTF">2026-03-26T16:07:30Z</dcterms:modified>
</cp:coreProperties>
</file>